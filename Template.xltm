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Workbook______________" defaultThemeVersion="166925"/>
  <mc:AlternateContent xmlns:mc="http://schemas.openxmlformats.org/markup-compatibility/2006">
    <mc:Choice Requires="x15">
      <x15ac:absPath xmlns:x15ac="http://schemas.microsoft.com/office/spreadsheetml/2010/11/ac" url="C:\Users\Leah Cassouto\OneDrive\Documents\SCHOOL\Final Project\"/>
    </mc:Choice>
  </mc:AlternateContent>
  <xr:revisionPtr revIDLastSave="0" documentId="8_{A6174C5B-6210-4AD3-B0DB-39908FABEAA2}" xr6:coauthVersionLast="47" xr6:coauthVersionMax="47" xr10:uidLastSave="{00000000-0000-0000-0000-000000000000}"/>
  <bookViews>
    <workbookView xWindow="-108" yWindow="-108" windowWidth="23256" windowHeight="12456" xr2:uid="{EE8F8299-1303-42E4-990B-8B27BB00B404}"/>
  </bookViews>
  <sheets>
    <sheet name="טבלאות סיכום " sheetId="1" r:id="rId1"/>
    <sheet name="תכנון מול ביצוע נתונים " sheetId="2" r:id="rId2"/>
    <sheet name="ציון איכות התכנון" sheetId="6" r:id="rId3"/>
    <sheet name="גיליון גולמי " sheetId="3" r:id="rId4"/>
    <sheet name="לוח בקרה "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1" i="6" l="1"/>
  <c r="J21" i="6" s="1"/>
  <c r="G21" i="6"/>
  <c r="E21" i="6"/>
  <c r="H20" i="6"/>
  <c r="J20" i="6" s="1"/>
  <c r="E20" i="6"/>
  <c r="G20" i="6" s="1"/>
  <c r="H19" i="6"/>
  <c r="J19" i="6" s="1"/>
  <c r="G19" i="6"/>
  <c r="E19" i="6"/>
  <c r="H18" i="6"/>
  <c r="J18" i="6" s="1"/>
  <c r="E18" i="6"/>
  <c r="G18" i="6" s="1"/>
  <c r="H17" i="6"/>
  <c r="J17" i="6" s="1"/>
  <c r="G17" i="6"/>
  <c r="E17" i="6"/>
  <c r="H16" i="6"/>
  <c r="J16" i="6" s="1"/>
  <c r="E16" i="6"/>
  <c r="G16" i="6" s="1"/>
  <c r="H15" i="6"/>
  <c r="J15" i="6" s="1"/>
  <c r="G15" i="6"/>
  <c r="E15" i="6"/>
  <c r="H14" i="6"/>
  <c r="J14" i="6" s="1"/>
  <c r="E14" i="6"/>
  <c r="G14" i="6" s="1"/>
  <c r="H13" i="6"/>
  <c r="J13" i="6" s="1"/>
  <c r="G13" i="6"/>
  <c r="E13" i="6"/>
  <c r="H12" i="6"/>
  <c r="J12" i="6" s="1"/>
  <c r="E12" i="6"/>
  <c r="G12" i="6" s="1"/>
  <c r="H11" i="6"/>
  <c r="J11" i="6" s="1"/>
  <c r="G11" i="6"/>
  <c r="E11" i="6"/>
  <c r="H10" i="6"/>
  <c r="J10" i="6" s="1"/>
  <c r="E10" i="6"/>
  <c r="G10" i="6" s="1"/>
  <c r="H9" i="6"/>
  <c r="J9" i="6" s="1"/>
  <c r="G9" i="6"/>
  <c r="E9" i="6"/>
  <c r="H8" i="6"/>
  <c r="J8" i="6" s="1"/>
  <c r="E8" i="6"/>
  <c r="G8" i="6" s="1"/>
  <c r="H7" i="6"/>
  <c r="J7" i="6" s="1"/>
  <c r="G7" i="6"/>
  <c r="E7" i="6"/>
  <c r="H6" i="6"/>
  <c r="J6" i="6" s="1"/>
  <c r="E6" i="6"/>
  <c r="G6" i="6" s="1"/>
  <c r="H5" i="6"/>
  <c r="J5" i="6" s="1"/>
  <c r="G5" i="6"/>
  <c r="E5" i="6"/>
  <c r="H4" i="6"/>
  <c r="J4" i="6" s="1"/>
  <c r="E4" i="6"/>
  <c r="G4" i="6" s="1"/>
  <c r="H3" i="6"/>
  <c r="J3" i="6" s="1"/>
  <c r="G3" i="6"/>
  <c r="E3" i="6"/>
  <c r="J2" i="6"/>
  <c r="J22" i="6" l="1"/>
  <c r="D29" i="3"/>
  <c r="D30" i="3"/>
  <c r="D31" i="3"/>
  <c r="A31"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2" i="3"/>
  <c r="I14" i="1"/>
  <c r="I13" i="1"/>
  <c r="I12" i="1"/>
  <c r="I11" i="1"/>
  <c r="I10" i="1"/>
  <c r="C8" i="1"/>
  <c r="I9" i="1"/>
  <c r="I8" i="1"/>
  <c r="I7" i="1"/>
  <c r="F13" i="1"/>
  <c r="F12" i="1"/>
  <c r="C13" i="1"/>
  <c r="C12" i="1"/>
  <c r="F8" i="1"/>
  <c r="F7" i="1"/>
  <c r="E2" i="2"/>
  <c r="E4" i="2"/>
  <c r="E5" i="2"/>
  <c r="E6" i="2"/>
  <c r="E7" i="2"/>
  <c r="E8" i="2"/>
  <c r="E9" i="2"/>
  <c r="E10" i="2"/>
  <c r="E11" i="2"/>
  <c r="E12" i="2"/>
  <c r="E13" i="2"/>
  <c r="E14" i="2"/>
  <c r="E15" i="2"/>
  <c r="E16" i="2"/>
  <c r="E17" i="2"/>
  <c r="E18" i="2"/>
  <c r="E19" i="2"/>
  <c r="E3" i="2"/>
  <c r="C7" i="1"/>
  <c r="I4" i="1"/>
  <c r="D19" i="2"/>
  <c r="D18" i="2"/>
  <c r="D17" i="2"/>
  <c r="D16" i="2"/>
  <c r="D15" i="2"/>
  <c r="D14" i="2"/>
  <c r="D13" i="2"/>
  <c r="D12" i="2"/>
  <c r="D11" i="2"/>
  <c r="D10" i="2"/>
  <c r="D9" i="2"/>
  <c r="D8" i="2"/>
  <c r="D7" i="2"/>
  <c r="D6" i="2"/>
  <c r="D5" i="2"/>
  <c r="D4" i="2"/>
  <c r="D2" i="2"/>
  <c r="B2" i="2"/>
  <c r="D3" i="2" s="1"/>
  <c r="A2" i="2"/>
  <c r="E2" i="1"/>
  <c r="H8" i="1"/>
  <c r="F4" i="1"/>
  <c r="F14" i="1" l="1"/>
  <c r="F15" i="1" s="1"/>
  <c r="F2" i="1" a="1"/>
  <c r="F2" i="1" s="1"/>
  <c r="C14" i="1"/>
  <c r="C15" i="1" s="1"/>
  <c r="F9" i="1"/>
  <c r="C9" i="1" l="1"/>
  <c r="D21" i="3"/>
  <c r="D16" i="3"/>
  <c r="D19" i="3"/>
  <c r="D14" i="3"/>
  <c r="D23" i="3"/>
  <c r="D28" i="3"/>
  <c r="D6" i="3"/>
  <c r="D17" i="3"/>
  <c r="D4" i="3"/>
  <c r="D3" i="3"/>
  <c r="D2" i="3"/>
  <c r="D20" i="3"/>
  <c r="D22" i="3"/>
  <c r="D13" i="3"/>
  <c r="D10" i="3"/>
  <c r="D5" i="3"/>
  <c r="D7" i="3"/>
  <c r="D8" i="3"/>
  <c r="D24" i="3"/>
  <c r="D12" i="3"/>
  <c r="D27" i="3"/>
  <c r="D11" i="3"/>
  <c r="D25" i="3"/>
  <c r="D15" i="3"/>
  <c r="D18" i="3"/>
  <c r="D26" i="3"/>
  <c r="D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tc={52667020-3E27-4D69-95D1-AE4C5F22D542}</author>
  </authors>
  <commentList>
    <comment ref="B1" authorId="0" shapeId="0" xr:uid="{52667020-3E27-4D69-95D1-AE4C5F22D542}">
      <text>
        <t xml:space="preserve">[הערה משורשרת]
גירסת Excel שברשותך מאפשרת לך לקרוא הערה משורשרת זו; עם זאת, כל שינויי העריכה שיתבצעו בה יוסרו אם הקובץ ייפתח בגירסה חדשה יותר של Excel. למידע נוסף: https://go.microsoft.com/fwlink/?linkid=870924
הערה:
    היי עדי- מה שעשיתי עד עכשיו הוא לבנות הטבלאות שאנחנו צריכות בגיליון (תכנון מול ביצוע) ובגיליון הזה (טבלאות סיכום) יש טבלאות של חישובים מהנתונים האלו עם נוסחאות המתאימים כבר שם מחובר לנתונים שצריכים לגלוש מMS בסוף.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tc={663F374A-A21B-4FFB-8870-592C5726F10A}</author>
  </authors>
  <commentList>
    <comment ref="B1" authorId="0" shapeId="0" xr:uid="{663F374A-A21B-4FFB-8870-592C5726F10A}">
      <text>
        <t>[הערה משורשרת]
גירסת Excel שברשותך מאפשרת לך לקרוא הערה משורשרת זו; עם זאת, כל שינויי העריכה שיתבצעו בה יוסרו אם הקובץ ייפתח בגירסה חדשה יותר של Excel. למידע נוסף: https://go.microsoft.com/fwlink/?linkid=870924
הערה:
    נתוני BASELINE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<sst xmlns="http://schemas.openxmlformats.org/spreadsheetml/2006/main" count="162" uniqueCount="81">
  <si>
    <t>התקדמות חודשית</t>
  </si>
  <si>
    <t>מתוכנן</t>
  </si>
  <si>
    <t>בפועל</t>
  </si>
  <si>
    <t>PAS</t>
  </si>
  <si>
    <t>התקדמות מתוכנן מול בפועל</t>
  </si>
  <si>
    <t>עיכוב בפרויקט</t>
  </si>
  <si>
    <t>עיכוב מחודש שעבר</t>
  </si>
  <si>
    <t>עיכוב מתחילת הפרויקט</t>
  </si>
  <si>
    <t>תאריך סיום חודש שעבר</t>
  </si>
  <si>
    <t>תאריך סיום נוכחי</t>
  </si>
  <si>
    <t>עיכוב %</t>
  </si>
  <si>
    <t>ימי עיכוב</t>
  </si>
  <si>
    <t>תאריך התחלה פרויקט</t>
  </si>
  <si>
    <t>מספר חודשים מהתחלה</t>
  </si>
  <si>
    <t>האם הפרויקט עדיין בפועל?</t>
  </si>
  <si>
    <t>סיכום נקודות מצב הפרויקט</t>
  </si>
  <si>
    <t>% ביצוע פרויקט בפועל</t>
  </si>
  <si>
    <t>פרומט דשבורד לתאריך</t>
  </si>
  <si>
    <t>קצב ביצוע פרויקט</t>
  </si>
  <si>
    <t>קצב ביצוע חודשי</t>
  </si>
  <si>
    <t>משך מתוכנן</t>
  </si>
  <si>
    <t>תחזית משך בהינתן הקצב הקיים</t>
  </si>
  <si>
    <t>תחזית חודש סיום פרויקט</t>
  </si>
  <si>
    <t>תחזית חודשי עיכוב</t>
  </si>
  <si>
    <t>תאריך סיום מקורי</t>
  </si>
  <si>
    <t>חודש</t>
  </si>
  <si>
    <t>תכנון מצטבר</t>
  </si>
  <si>
    <t>בפועל מצטבר</t>
  </si>
  <si>
    <t>תכנון לחודש</t>
  </si>
  <si>
    <t>בפועל לחודש</t>
  </si>
  <si>
    <t>חודש סיום צפוי</t>
  </si>
  <si>
    <t xml:space="preserve">חודש שעבר בלדשבורד הוא </t>
  </si>
  <si>
    <t>התקדמות מצטבר מתחילת הפרויקט</t>
  </si>
  <si>
    <t>הגדרות חשובות מהמשתמש</t>
  </si>
  <si>
    <t xml:space="preserve">קריטיות </t>
  </si>
  <si>
    <t>סטטות מתוכנן</t>
  </si>
  <si>
    <t>סטטוס בפועל</t>
  </si>
  <si>
    <t>אבני דרך</t>
  </si>
  <si>
    <t xml:space="preserve">סטטוס מתוכנן </t>
  </si>
  <si>
    <t>אחוז</t>
  </si>
  <si>
    <t>הסתיים</t>
  </si>
  <si>
    <t xml:space="preserve">הסתיים </t>
  </si>
  <si>
    <t xml:space="preserve">לא התחיל </t>
  </si>
  <si>
    <t>לא התחיל</t>
  </si>
  <si>
    <t>מתוכנןן מול ביצוע</t>
  </si>
  <si>
    <t xml:space="preserve">לא התחיל  </t>
  </si>
  <si>
    <t>EXPLANATION FOR NOW</t>
  </si>
  <si>
    <t>נושא</t>
  </si>
  <si>
    <t>פעילויות</t>
  </si>
  <si>
    <t>אחוזים</t>
  </si>
  <si>
    <t>גבול</t>
  </si>
  <si>
    <t>הפרש</t>
  </si>
  <si>
    <t>משקל</t>
  </si>
  <si>
    <t>ציון</t>
  </si>
  <si>
    <t>סה"כ</t>
  </si>
  <si>
    <t xml:space="preserve">כללי </t>
  </si>
  <si>
    <t>כמות פעולות</t>
  </si>
  <si>
    <t>N</t>
  </si>
  <si>
    <t>משכים מעל ל25 ימי עבודה</t>
  </si>
  <si>
    <t>V</t>
  </si>
  <si>
    <t>פעולות מתוזמנות  לא בימים</t>
  </si>
  <si>
    <t>פעולות מתוזמנות בעבר ולא הסתיימו</t>
  </si>
  <si>
    <t xml:space="preserve">עמודת אחריות </t>
  </si>
  <si>
    <t>המצאות קשרים</t>
  </si>
  <si>
    <t>פעולות ללא פעולה עוקבת</t>
  </si>
  <si>
    <t>פעולות ללא פעולה מקדימה</t>
  </si>
  <si>
    <t>קשרים לערסלים</t>
  </si>
  <si>
    <t>סוג הקשר</t>
  </si>
  <si>
    <t>כמות הס</t>
  </si>
  <si>
    <t>כמות הה</t>
  </si>
  <si>
    <t>כמות סס</t>
  </si>
  <si>
    <t>LAG חיובי</t>
  </si>
  <si>
    <t>LAG שלילי</t>
  </si>
  <si>
    <t>אילוצים</t>
  </si>
  <si>
    <t>מאוחר ככל האפשר</t>
  </si>
  <si>
    <t>התחלה לא לפני</t>
  </si>
  <si>
    <t>התחלה לא אחרי</t>
  </si>
  <si>
    <t>סיום אחרי</t>
  </si>
  <si>
    <t>סיום לא לפני</t>
  </si>
  <si>
    <t>חייב להתחיל בתאריך</t>
  </si>
  <si>
    <t xml:space="preserve">חייב להסתיים בתאריך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</si>
</sst>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0;[Red]#,##0"/>
    <numFmt numFmtId="165" formatCode="0.00_ ;[Red]\-0.00\ "/>
    <numFmt numFmtId="166" formatCode="0.0%"/>
  </numFmts>
  <fonts count="7" x14ac:knownFonts="1">
    <font>
      <sz val="11"/>
      <color theme="1"/>
      <name val="Calibri"/>
      <family val="2"/>
      <charset val="177"/>
      <scheme val="minor"/>
    </font>
    <font>
      <sz val="11"/>
      <color theme="1"/>
      <name val="Calibri"/>
      <family val="2"/>
      <charset val="177"/>
      <scheme val="minor"/>
    </font>
    <font>
      <b/>
      <sz val="11"/>
      <color theme="1"/>
      <name val="Calibri"/>
      <family val="2"/>
      <scheme val="minor"/>
    </font>
    <font>
      <sz val="11"/>
      <color theme="1"/>
      <name val="Arial Nova"/>
      <family val="2"/>
    </font>
    <font>
      <sz val="11"/>
      <color rgb="FFFF0000"/>
      <name val="Arial Nova"/>
      <family val="2"/>
    </font>
    <font>
      <b/>
      <sz val="11"/>
      <color theme="1"/>
      <name val="Arial Nova"/>
      <family val="2"/>
    </font>
    <font>
      <sz val="11"/>
      <color theme="1"/>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39997558519241921"/>
        <bgColor indexed="64"/>
      </patternFill>
    </fill>
  </fills>
  <borders count="6">
    <border>
      <left/>
      <right/>
      <top/>
      <bottom/>
      <diagonal/>
    </border>
    <border>
      <left/>
      <right/>
      <top/>
      <bottom style="medium">
        <color indexed="64"/>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diagonal/>
    </border>
    <border>
      <left/>
      <right/>
      <top style="medium">
        <color indexed="64"/>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6" fillId="0" borderId="0"/>
    <xf numFmtId="9" fontId="6" fillId="0" borderId="0" applyFont="0" applyFill="0" applyBorder="0" applyAlignment="0" applyProtection="0"/>
  </cellStyleXfs>
  <cellXfs count="60">
    <xf numFmtId="0" fontId="0" fillId="0" borderId="0" xfId="0"/>
    <xf numFmtId="14" fontId="0" fillId="0" borderId="0" xfId="0" applyNumberFormat="1"/>
    <xf numFmtId="9" fontId="0" fillId="0" borderId="0" xfId="0" applyNumberFormat="1"/>
    <xf numFmtId="9" fontId="0" fillId="0" borderId="0" xfId="2" applyFont="1"/>
    <xf numFmtId="0" fontId="3" fillId="6" borderId="0" xfId="0" applyFont="1" applyFill="1"/>
    <xf numFmtId="0" fontId="3" fillId="7" borderId="0" xfId="0" applyFont="1" applyFill="1"/>
    <xf numFmtId="14" fontId="3" fillId="6" borderId="0" xfId="0" applyNumberFormat="1" applyFont="1" applyFill="1"/>
    <xf numFmtId="43" fontId="3" fillId="6" borderId="0" xfId="1" applyFont="1" applyFill="1"/>
    <xf numFmtId="14" fontId="3" fillId="6" borderId="0" xfId="1" applyNumberFormat="1" applyFont="1" applyFill="1"/>
    <xf numFmtId="43" fontId="3" fillId="0" borderId="0" xfId="1" applyFont="1" applyFill="1"/>
    <xf numFmtId="0" fontId="3" fillId="0" borderId="0" xfId="0" applyFont="1"/>
    <xf numFmtId="0" fontId="3" fillId="6" borderId="0" xfId="0" quotePrefix="1" applyFont="1" applyFill="1"/>
    <xf numFmtId="43" fontId="4" fillId="0" borderId="0" xfId="1" applyFont="1" applyFill="1" applyAlignment="1"/>
    <xf numFmtId="0" fontId="3" fillId="0" borderId="0" xfId="0" applyFont="1" applyAlignment="1">
      <alignment horizontal="center"/>
    </xf>
    <xf numFmtId="43" fontId="3" fillId="0" borderId="0" xfId="1" applyFont="1" applyFill="1" applyAlignment="1"/>
    <xf numFmtId="0" fontId="3" fillId="2" borderId="0" xfId="0" applyFont="1" applyFill="1" applyAlignment="1">
      <alignment horizontal="center"/>
    </xf>
    <xf numFmtId="9" fontId="3" fillId="0" borderId="0" xfId="0" applyNumberFormat="1" applyFont="1"/>
    <xf numFmtId="43" fontId="3" fillId="5" borderId="0" xfId="1" applyFont="1" applyFill="1" applyAlignment="1">
      <alignment horizontal="right"/>
    </xf>
    <xf numFmtId="9" fontId="3" fillId="0" borderId="0" xfId="1" applyNumberFormat="1" applyFont="1" applyFill="1"/>
    <xf numFmtId="14" fontId="3" fillId="0" borderId="0" xfId="0" applyNumberFormat="1" applyFont="1"/>
    <xf numFmtId="14" fontId="3" fillId="0" borderId="0" xfId="1" applyNumberFormat="1" applyFont="1" applyFill="1"/>
    <xf numFmtId="164" fontId="3" fillId="0" borderId="0" xfId="1" applyNumberFormat="1" applyFont="1"/>
    <xf numFmtId="165" fontId="3" fillId="0" borderId="0" xfId="1" applyNumberFormat="1" applyFont="1"/>
    <xf numFmtId="9" fontId="3" fillId="0" borderId="0" xfId="2" applyFont="1"/>
    <xf numFmtId="0" fontId="2" fillId="8" borderId="0" xfId="0" applyFont="1" applyFill="1" applyAlignment="1">
      <alignment horizontal="center" vertical="center"/>
    </xf>
    <xf numFmtId="9" fontId="2" fillId="8" borderId="0" xfId="2" applyFont="1" applyFill="1" applyAlignment="1">
      <alignment horizontal="center" vertical="center" wrapText="1"/>
    </xf>
    <xf numFmtId="0" fontId="2" fillId="8" borderId="0" xfId="0" applyFont="1" applyFill="1" applyAlignment="1">
      <alignment horizontal="center" vertical="center" wrapText="1"/>
    </xf>
    <xf numFmtId="14" fontId="3" fillId="6" borderId="0" xfId="1" applyNumberFormat="1" applyFont="1" applyFill="1" applyAlignment="1"/>
    <xf numFmtId="0" fontId="3" fillId="9" borderId="0" xfId="0" applyFont="1" applyFill="1"/>
    <xf numFmtId="43" fontId="3" fillId="9" borderId="0" xfId="1" applyFont="1" applyFill="1"/>
    <xf numFmtId="43" fontId="3" fillId="9" borderId="0" xfId="1" applyFont="1" applyFill="1" applyAlignment="1"/>
    <xf numFmtId="165" fontId="3" fillId="0" borderId="0" xfId="1" applyNumberFormat="1" applyFont="1" applyFill="1"/>
    <xf numFmtId="0" fontId="0" fillId="10" borderId="0" xfId="0" applyFill="1"/>
    <xf numFmtId="0" fontId="6" fillId="0" borderId="0" xfId="3" applyAlignment="1">
      <alignment horizontal="center" vertical="center"/>
    </xf>
    <xf numFmtId="0" fontId="6" fillId="11" borderId="1" xfId="3" applyFill="1" applyBorder="1" applyAlignment="1">
      <alignment horizontal="center" vertical="center"/>
    </xf>
    <xf numFmtId="9" fontId="0" fillId="11" borderId="1" xfId="4" applyFont="1" applyFill="1" applyBorder="1" applyAlignment="1">
      <alignment horizontal="center" vertical="center"/>
    </xf>
    <xf numFmtId="9" fontId="0" fillId="0" borderId="0" xfId="4" applyFont="1" applyAlignment="1">
      <alignment horizontal="center" vertical="center"/>
    </xf>
    <xf numFmtId="9" fontId="6" fillId="0" borderId="0" xfId="3" applyNumberFormat="1" applyAlignment="1">
      <alignment horizontal="center" vertical="center"/>
    </xf>
    <xf numFmtId="0" fontId="6" fillId="5" borderId="0" xfId="3" applyFill="1" applyAlignment="1">
      <alignment horizontal="center" vertical="center"/>
    </xf>
    <xf numFmtId="166" fontId="0" fillId="0" borderId="0" xfId="4" applyNumberFormat="1" applyFont="1" applyAlignment="1">
      <alignment horizontal="center" vertical="center"/>
    </xf>
    <xf numFmtId="0" fontId="6" fillId="0" borderId="1" xfId="3" applyBorder="1" applyAlignment="1">
      <alignment horizontal="center" vertical="center"/>
    </xf>
    <xf numFmtId="9" fontId="0" fillId="0" borderId="1" xfId="4" applyFont="1" applyBorder="1" applyAlignment="1">
      <alignment horizontal="center" vertical="center"/>
    </xf>
    <xf numFmtId="9" fontId="6" fillId="0" borderId="1" xfId="3" applyNumberFormat="1" applyBorder="1" applyAlignment="1">
      <alignment horizontal="center" vertical="center"/>
    </xf>
    <xf numFmtId="166" fontId="0" fillId="0" borderId="1" xfId="4" applyNumberFormat="1" applyFont="1" applyBorder="1" applyAlignment="1">
      <alignment horizontal="center" vertical="center"/>
    </xf>
    <xf numFmtId="0" fontId="6" fillId="5" borderId="1" xfId="3" applyFill="1" applyBorder="1" applyAlignment="1">
      <alignment horizontal="center" vertical="center"/>
    </xf>
    <xf numFmtId="0" fontId="6" fillId="0" borderId="5" xfId="3" applyBorder="1" applyAlignment="1">
      <alignment horizontal="center" vertical="center"/>
    </xf>
    <xf numFmtId="166" fontId="0" fillId="0" borderId="0" xfId="4" applyNumberFormat="1" applyFont="1" applyBorder="1" applyAlignment="1">
      <alignment horizontal="center" vertical="center"/>
    </xf>
    <xf numFmtId="9" fontId="0" fillId="0" borderId="0" xfId="4" applyFont="1" applyBorder="1" applyAlignment="1">
      <alignment horizontal="center" vertical="center"/>
    </xf>
    <xf numFmtId="9" fontId="6" fillId="0" borderId="5" xfId="3" applyNumberFormat="1" applyBorder="1" applyAlignment="1">
      <alignment horizontal="center" vertical="center"/>
    </xf>
    <xf numFmtId="166" fontId="0" fillId="0" borderId="5" xfId="4" applyNumberFormat="1" applyFont="1" applyBorder="1" applyAlignment="1">
      <alignment horizontal="center" vertical="center"/>
    </xf>
    <xf numFmtId="0" fontId="6" fillId="5" borderId="5" xfId="3" applyFill="1" applyBorder="1" applyAlignment="1">
      <alignment horizontal="center" vertical="center"/>
    </xf>
    <xf numFmtId="9" fontId="0" fillId="0" borderId="5" xfId="4" applyFont="1" applyBorder="1" applyAlignment="1">
      <alignment horizontal="center" vertical="center"/>
    </xf>
    <xf numFmtId="43" fontId="5" fillId="0" borderId="0" xfId="1" applyFont="1" applyFill="1" applyAlignment="1">
      <alignment horizontal="center" wrapText="1"/>
    </xf>
    <xf numFmtId="0" fontId="5" fillId="9" borderId="0" xfId="0" applyFont="1" applyFill="1" applyAlignment="1">
      <alignment horizontal="center" wrapText="1"/>
    </xf>
    <xf numFmtId="0" fontId="5" fillId="3" borderId="0" xfId="0" applyFont="1" applyFill="1" applyAlignment="1">
      <alignment horizontal="center" vertical="center" wrapText="1"/>
    </xf>
    <xf numFmtId="43" fontId="5" fillId="4" borderId="0" xfId="1" applyFont="1" applyFill="1" applyAlignment="1">
      <alignment horizontal="center"/>
    </xf>
    <xf numFmtId="0" fontId="5" fillId="3" borderId="0" xfId="0" applyFont="1" applyFill="1" applyAlignment="1">
      <alignment horizontal="center"/>
    </xf>
    <xf numFmtId="0" fontId="6" fillId="11" borderId="2" xfId="3" applyFill="1" applyBorder="1" applyAlignment="1">
      <alignment horizontal="center" vertical="center"/>
    </xf>
    <xf numFmtId="0" fontId="6" fillId="11" borderId="3" xfId="3" applyFill="1" applyBorder="1" applyAlignment="1">
      <alignment horizontal="center" vertical="center"/>
    </xf>
    <xf numFmtId="0" fontId="6" fillId="11" borderId="4" xfId="3" applyFill="1" applyBorder="1" applyAlignment="1">
      <alignment horizontal="center" vertical="center"/>
    </xf>
  </cellXfs>
  <cellStyles count="5">
    <cellStyle name="Comma" xfId="1" builtinId="3"/>
    <cellStyle name="Normal" xfId="0" builtinId="0"/>
    <cellStyle name="Normal 2" xfId="3" xr:uid="{6277ED0B-31CF-408E-9BA8-E4266868448D}"/>
    <cellStyle name="Percent" xfId="2" builtinId="5"/>
    <cellStyle name="Percent 2" xfId="4" xr:uid="{58AC7C62-BD8B-401D-8370-B2911DC9616A}"/>
  </cellStyles>
  <dxfs count="31">
    <dxf>
      <numFmt numFmtId="0" formatCode="General"/>
    </dxf>
    <dxf>
      <fill>
        <patternFill patternType="solid">
          <fgColor indexed="64"/>
          <bgColor theme="4" tint="0.79998168889431442"/>
        </patternFill>
      </fill>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alignment horizontal="center" vertical="center" textRotation="0" wrapText="0" indent="0" justifyLastLine="0" shrinkToFit="0" readingOrder="0"/>
    </dxf>
    <dxf>
      <border outline="0">
        <bottom style="medium">
          <color indexed="64"/>
        </bottom>
      </border>
    </dxf>
    <dxf>
      <fill>
        <patternFill patternType="solid">
          <fgColor indexed="64"/>
          <bgColor theme="4"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Nova"/>
        <family val="2"/>
        <scheme val="none"/>
      </font>
      <numFmt numFmtId="19" formatCode="dd/mm/yyyy"/>
    </dxf>
    <dxf>
      <numFmt numFmtId="13" formatCode="0%"/>
    </dxf>
    <dxf>
      <numFmt numFmtId="13" formatCode="0%"/>
    </dxf>
    <dxf>
      <font>
        <b/>
        <i val="0"/>
        <strike val="0"/>
        <condense val="0"/>
        <extend val="0"/>
        <outline val="0"/>
        <shadow val="0"/>
        <u val="none"/>
        <vertAlign val="baseline"/>
        <sz val="11"/>
        <color theme="1"/>
        <name val="Calibri"/>
        <family val="2"/>
        <scheme val="minor"/>
      </font>
      <fill>
        <patternFill patternType="solid">
          <fgColor indexed="64"/>
          <bgColor theme="4"/>
        </patternFill>
      </fill>
      <alignment horizontal="center" vertical="center" textRotation="0" wrapText="0" indent="0" justifyLastLine="0" shrinkToFit="0" readingOrder="0"/>
    </dxf>
    <dxf>
      <font>
        <color rgb="FF9C0006"/>
      </font>
      <fill>
        <patternFill>
          <bgColor rgb="FFFFC7CE"/>
        </patternFill>
      </fill>
    </dxf>
    <dxf>
      <font>
        <color rgb="FF00B0F0"/>
      </font>
      <fill>
        <patternFill>
          <bgColor theme="8" tint="0.59996337778862885"/>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he-IL"/>
              <a:t>תכנון</a:t>
            </a:r>
            <a:r>
              <a:rPr lang="he-IL" baseline="0"/>
              <a:t> מול ביצוע חודשיית</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2"/>
          <c:order val="2"/>
          <c:tx>
            <c:strRef>
              <c:f>'תכנון מול ביצוע נתונים '!$D$1</c:f>
              <c:strCache>
                <c:ptCount val="1"/>
                <c:pt idx="0">
                  <c:v>תכנון לחודש</c:v>
                </c:pt>
              </c:strCache>
            </c:strRef>
          </c:tx>
          <c:spPr>
            <a:ln w="28575" cap="rnd">
              <a:solidFill>
                <a:schemeClr val="accent3"/>
              </a:solidFill>
              <a:round/>
            </a:ln>
            <a:effectLst/>
          </c:spPr>
          <c:marker>
            <c:symbol val="none"/>
          </c:marker>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'!$D$2:$D$19</c:f>
              <c:numCache>
                <c:formatCode>0%</c:formatCode>
                <c:ptCount val="18"/>
                <c:pt idx="0">
                  <c:v>0.03</c:v>
                </c:pt>
                <c:pt idx="1">
                  <c:v>1.0000000000000002E-2</c:v>
                </c:pt>
                <c:pt idx="2">
                  <c:v>1.0000000000000002E-2</c:v>
                </c:pt>
                <c:pt idx="3">
                  <c:v>9.999999999999995E-3</c:v>
                </c:pt>
                <c:pt idx="4">
                  <c:v>2.0000000000000004E-2</c:v>
                </c:pt>
                <c:pt idx="5">
                  <c:v>6.9999999999999993E-2</c:v>
                </c:pt>
                <c:pt idx="6">
                  <c:v>5.0000000000000017E-2</c:v>
                </c:pt>
                <c:pt idx="7">
                  <c:v>4.9999999999999989E-2</c:v>
                </c:pt>
                <c:pt idx="8">
                  <c:v>9.9999999999999978E-2</c:v>
                </c:pt>
                <c:pt idx="9">
                  <c:v>5.0000000000000044E-2</c:v>
                </c:pt>
                <c:pt idx="10">
                  <c:v>0.06</c:v>
                </c:pt>
                <c:pt idx="11">
                  <c:v>0.11999999999999994</c:v>
                </c:pt>
                <c:pt idx="12">
                  <c:v>4.0000000000000036E-2</c:v>
                </c:pt>
                <c:pt idx="13">
                  <c:v>6.9999999999999951E-2</c:v>
                </c:pt>
                <c:pt idx="14">
                  <c:v>1.0000000000000009E-2</c:v>
                </c:pt>
                <c:pt idx="15">
                  <c:v>0.10000000000000009</c:v>
                </c:pt>
                <c:pt idx="16">
                  <c:v>8.9999999999999969E-2</c:v>
                </c:pt>
                <c:pt idx="17">
                  <c:v>5.9999999999999942E-2</c:v>
                </c:pt>
              </c:numCache>
            </c:numRef>
          </c:val>
          <c:smooth val="0"/>
          <c:extLst>
            <c:ext xmlns:c16="http://schemas.microsoft.com/office/drawing/2014/chart" uri="{C3380CC4-5D6E-409C-BE32-E72D297353CC}">
              <c16:uniqueId val="{00000002-06A9-4805-AE3C-68379A51FCCB}"/>
            </c:ext>
          </c:extLst>
        </c:ser>
        <c:ser>
          <c:idx val="3"/>
          <c:order val="3"/>
          <c:tx>
            <c:strRef>
              <c:f>'תכנון מול ביצוע נתונים '!$E$1</c:f>
              <c:strCache>
                <c:ptCount val="1"/>
                <c:pt idx="0">
                  <c:v>בפועל לחודש</c:v>
                </c:pt>
              </c:strCache>
            </c:strRef>
          </c:tx>
          <c:spPr>
            <a:ln w="28575" cap="rnd">
              <a:solidFill>
                <a:schemeClr val="accent4"/>
              </a:solidFill>
              <a:round/>
            </a:ln>
            <a:effectLst/>
          </c:spPr>
          <c:marker>
            <c:symbol val="none"/>
          </c:marker>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'!$E$2:$E$19</c:f>
              <c:numCache>
                <c:formatCode>0%</c:formatCode>
                <c:ptCount val="18"/>
                <c:pt idx="0">
                  <c:v>0.03</c:v>
                </c:pt>
                <c:pt idx="1">
                  <c:v>1.0000000000000002E-2</c:v>
                </c:pt>
                <c:pt idx="2">
                  <c:v>0</c:v>
                </c:pt>
                <c:pt idx="3">
                  <c:v>1.0000000000000002E-2</c:v>
                </c:pt>
                <c:pt idx="4">
                  <c:v>2.0000000000000004E-2</c:v>
                </c:pt>
                <c:pt idx="5">
                  <c:v>0.06</c:v>
                </c:pt>
                <c:pt idx="6">
                  <c:v>0.06</c:v>
                </c:pt>
                <c:pt idx="7">
                  <c:v>4.9999999999999989E-2</c:v>
                </c:pt>
                <c:pt idx="8">
                  <c:v>4.9999999999999989E-2</c:v>
                </c:pt>
                <c:pt idx="9">
                  <c:v>7.0000000000000007E-2</c:v>
                </c:pt>
                <c:pt idx="10">
                  <c:v>0.06</c:v>
                </c:pt>
                <c:pt idx="11">
                  <c:v>0.12000000000000005</c:v>
                </c:pt>
                <c:pt idx="12">
                  <c:v>3.9999999999999925E-2</c:v>
                </c:pt>
                <c:pt idx="13">
                  <c:v>7.0000000000000062E-2</c:v>
                </c:pt>
                <c:pt idx="14">
                  <c:v>1.0000000000000009E-2</c:v>
                </c:pt>
                <c:pt idx="15">
                  <c:v>0.10999999999999999</c:v>
                </c:pt>
                <c:pt idx="16">
                  <c:v>8.9999999999999969E-2</c:v>
                </c:pt>
                <c:pt idx="17">
                  <c:v>6.0000000000000053E-2</c:v>
                </c:pt>
              </c:numCache>
            </c:numRef>
          </c:val>
          <c:smooth val="0"/>
          <c:extLst>
            <c:ext xmlns:c16="http://schemas.microsoft.com/office/drawing/2014/chart" uri="{C3380CC4-5D6E-409C-BE32-E72D297353CC}">
              <c16:uniqueId val="{00000003-06A9-4805-AE3C-68379A51FCCB}"/>
            </c:ext>
          </c:extLst>
        </c:ser>
        <c:dLbls>
          <c:showLegendKey val="0"/>
          <c:showVal val="0"/>
          <c:showCatName val="0"/>
          <c:showSerName val="0"/>
          <c:showPercent val="0"/>
          <c:showBubbleSize val="0"/>
        </c:dLbls>
        <c:smooth val="0"/>
        <c:axId val="1107036016"/>
        <c:axId val="1107043216"/>
        <c:extLst>
          <c:ext xmlns:c15="http://schemas.microsoft.com/office/drawing/2012/chart" uri="{02D57815-91ED-43cb-92C2-25804820EDAC}">
            <c15:filteredLineSeries>
              <c15:ser>
                <c:idx val="0"/>
                <c:order val="0"/>
                <c:tx>
                  <c:strRef>
                    <c:extLst>
                      <c:ext uri="{02D57815-91ED-43cb-92C2-25804820EDAC}">
                        <c15:formulaRef>
                          <c15:sqref>'תכנון מול ביצוע נתונים '!$B$1</c15:sqref>
                        </c15:formulaRef>
                      </c:ext>
                    </c:extLst>
                    <c:strCache>
                      <c:ptCount val="1"/>
                      <c:pt idx="0">
                        <c:v>תכנון מצטבר</c:v>
                      </c:pt>
                    </c:strCache>
                  </c:strRef>
                </c:tx>
                <c:spPr>
                  <a:ln w="28575" cap="rnd">
                    <a:solidFill>
                      <a:schemeClr val="accent1"/>
                    </a:solidFill>
                    <a:round/>
                  </a:ln>
                  <a:effectLst/>
                </c:spPr>
                <c:marker>
                  <c:symbol val="none"/>
                </c:marker>
                <c:cat>
                  <c:numRef>
                    <c:extLst>
                      <c:ext uri="{02D57815-91ED-43cb-92C2-25804820EDAC}">
                        <c15:formulaRef>
                          <c15:sqref>'תכנון מול ביצוע נתונים '!$A$2:$A$19</c15:sqref>
                        </c15:formulaRef>
                      </c:ext>
                    </c:extLst>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extLst>
                      <c:ext uri="{02D57815-91ED-43cb-92C2-25804820EDAC}">
                        <c15:formulaRef>
                          <c15:sqref>'תכנון מול ביצוע נתונים '!$B$2:$B$19</c15:sqref>
                        </c15:formulaRef>
                      </c:ext>
                    </c:extLst>
                    <c:numCache>
                      <c:formatCode>0%</c:formatCode>
                      <c:ptCount val="18"/>
                      <c:pt idx="0">
                        <c:v>0.03</c:v>
                      </c:pt>
                      <c:pt idx="1">
                        <c:v>0.04</c:v>
                      </c:pt>
                      <c:pt idx="2">
                        <c:v>0.05</c:v>
                      </c:pt>
                      <c:pt idx="3">
                        <c:v>0.06</c:v>
                      </c:pt>
                      <c:pt idx="4">
                        <c:v>0.08</c:v>
                      </c:pt>
                      <c:pt idx="5">
                        <c:v>0.15</c:v>
                      </c:pt>
                      <c:pt idx="6">
                        <c:v>0.2</c:v>
                      </c:pt>
                      <c:pt idx="7">
                        <c:v>0.25</c:v>
                      </c:pt>
                      <c:pt idx="8">
                        <c:v>0.35</c:v>
                      </c:pt>
                      <c:pt idx="9">
                        <c:v>0.4</c:v>
                      </c:pt>
                      <c:pt idx="10">
                        <c:v>0.46</c:v>
                      </c:pt>
                      <c:pt idx="11">
                        <c:v>0.57999999999999996</c:v>
                      </c:pt>
                      <c:pt idx="12">
                        <c:v>0.62</c:v>
                      </c:pt>
                      <c:pt idx="13">
                        <c:v>0.69</c:v>
                      </c:pt>
                      <c:pt idx="14">
                        <c:v>0.7</c:v>
                      </c:pt>
                      <c:pt idx="15">
                        <c:v>0.8</c:v>
                      </c:pt>
                      <c:pt idx="16">
                        <c:v>0.89</c:v>
                      </c:pt>
                      <c:pt idx="17">
                        <c:v>0.95</c:v>
                      </c:pt>
                    </c:numCache>
                  </c:numRef>
                </c:val>
                <c:smooth val="0"/>
                <c:extLst>
                  <c:ext xmlns:c16="http://schemas.microsoft.com/office/drawing/2014/chart" uri="{C3380CC4-5D6E-409C-BE32-E72D297353CC}">
                    <c16:uniqueId val="{00000000-06A9-4805-AE3C-68379A51FCCB}"/>
                  </c:ext>
                </c:extLst>
              </c15:ser>
            </c15:filteredLineSeries>
            <c15:filteredLineSeries>
              <c15:ser>
                <c:idx val="1"/>
                <c:order val="1"/>
                <c:tx>
                  <c:strRef>
                    <c:extLst>
                      <c:ext xmlns:c15="http://schemas.microsoft.com/office/drawing/2012/chart" uri="{02D57815-91ED-43cb-92C2-25804820EDAC}">
                        <c15:formulaRef>
                          <c15:sqref>'תכנון מול ביצוע נתונים '!$C$1</c15:sqref>
                        </c15:formulaRef>
                      </c:ext>
                    </c:extLst>
                    <c:strCache>
                      <c:ptCount val="1"/>
                      <c:pt idx="0">
                        <c:v>בפועל מצטבר</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'תכנון מול ביצוע נתונים '!$A$2:$A$19</c15:sqref>
                        </c15:formulaRef>
                      </c:ext>
                    </c:extLst>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extLst>
                      <c:ext xmlns:c15="http://schemas.microsoft.com/office/drawing/2012/chart" uri="{02D57815-91ED-43cb-92C2-25804820EDAC}">
                        <c15:formulaRef>
                          <c15:sqref>'תכנון מול ביצוע נתונים '!$C$2:$C$19</c15:sqref>
                        </c15:formulaRef>
                      </c:ext>
                    </c:extLst>
                    <c:numCache>
                      <c:formatCode>0%</c:formatCode>
                      <c:ptCount val="18"/>
                      <c:pt idx="0">
                        <c:v>0.03</c:v>
                      </c:pt>
                      <c:pt idx="1">
                        <c:v>0.04</c:v>
                      </c:pt>
                      <c:pt idx="2">
                        <c:v>0.04</c:v>
                      </c:pt>
                      <c:pt idx="3">
                        <c:v>0.05</c:v>
                      </c:pt>
                      <c:pt idx="4">
                        <c:v>7.0000000000000007E-2</c:v>
                      </c:pt>
                      <c:pt idx="5">
                        <c:v>0.13</c:v>
                      </c:pt>
                      <c:pt idx="6">
                        <c:v>0.19</c:v>
                      </c:pt>
                      <c:pt idx="7">
                        <c:v>0.24</c:v>
                      </c:pt>
                      <c:pt idx="8">
                        <c:v>0.28999999999999998</c:v>
                      </c:pt>
                      <c:pt idx="9">
                        <c:v>0.36</c:v>
                      </c:pt>
                      <c:pt idx="10">
                        <c:v>0.42</c:v>
                      </c:pt>
                      <c:pt idx="11">
                        <c:v>0.54</c:v>
                      </c:pt>
                      <c:pt idx="12">
                        <c:v>0.57999999999999996</c:v>
                      </c:pt>
                      <c:pt idx="13">
                        <c:v>0.65</c:v>
                      </c:pt>
                      <c:pt idx="14">
                        <c:v>0.66</c:v>
                      </c:pt>
                      <c:pt idx="15">
                        <c:v>0.77</c:v>
                      </c:pt>
                      <c:pt idx="16">
                        <c:v>0.86</c:v>
                      </c:pt>
                      <c:pt idx="17">
                        <c:v>0.92</c:v>
                      </c:pt>
                    </c:numCache>
                  </c:numRef>
                </c:val>
                <c:smooth val="0"/>
                <c:extLst xmlns:c15="http://schemas.microsoft.com/office/drawing/2012/chart">
                  <c:ext xmlns:c16="http://schemas.microsoft.com/office/drawing/2014/chart" uri="{C3380CC4-5D6E-409C-BE32-E72D297353CC}">
                    <c16:uniqueId val="{00000001-06A9-4805-AE3C-68379A51FCCB}"/>
                  </c:ext>
                </c:extLst>
              </c15:ser>
            </c15:filteredLineSeries>
            <c15:filteredLineSeries>
              <c15:ser>
                <c:idx val="4"/>
                <c:order val="4"/>
                <c:tx>
                  <c:strRef>
                    <c:extLst>
                      <c:ext xmlns:c15="http://schemas.microsoft.com/office/drawing/2012/chart" uri="{02D57815-91ED-43cb-92C2-25804820EDAC}">
                        <c15:formulaRef>
                          <c15:sqref>'תכנון מול ביצוע נתונים '!$F$1</c15:sqref>
                        </c15:formulaRef>
                      </c:ext>
                    </c:extLst>
                    <c:strCache>
                      <c:ptCount val="1"/>
                      <c:pt idx="0">
                        <c:v>חודש סיום צפוי</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'תכנון מול ביצוע נתונים '!$A$2:$A$19</c15:sqref>
                        </c15:formulaRef>
                      </c:ext>
                    </c:extLst>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extLst>
                      <c:ext xmlns:c15="http://schemas.microsoft.com/office/drawing/2012/chart" uri="{02D57815-91ED-43cb-92C2-25804820EDAC}">
                        <c15:formulaRef>
                          <c15:sqref>'תכנון מול ביצוע נתונים '!$F$2:$F$19</c15:sqref>
                        </c15:formulaRef>
                      </c:ext>
                    </c:extLst>
                    <c:numCache>
                      <c:formatCode>m/d/yyyy</c:formatCode>
                      <c:ptCount val="18"/>
                      <c:pt idx="0">
                        <c:v>44996</c:v>
                      </c:pt>
                      <c:pt idx="1">
                        <c:v>45000</c:v>
                      </c:pt>
                      <c:pt idx="2">
                        <c:v>45003</c:v>
                      </c:pt>
                      <c:pt idx="3">
                        <c:v>45015</c:v>
                      </c:pt>
                      <c:pt idx="4">
                        <c:v>45020</c:v>
                      </c:pt>
                      <c:pt idx="5">
                        <c:v>45026</c:v>
                      </c:pt>
                      <c:pt idx="6">
                        <c:v>45026</c:v>
                      </c:pt>
                      <c:pt idx="7">
                        <c:v>45031</c:v>
                      </c:pt>
                      <c:pt idx="8">
                        <c:v>45032</c:v>
                      </c:pt>
                      <c:pt idx="9">
                        <c:v>45034</c:v>
                      </c:pt>
                      <c:pt idx="10">
                        <c:v>45036</c:v>
                      </c:pt>
                      <c:pt idx="11">
                        <c:v>45041</c:v>
                      </c:pt>
                      <c:pt idx="12">
                        <c:v>45047</c:v>
                      </c:pt>
                      <c:pt idx="13">
                        <c:v>45061</c:v>
                      </c:pt>
                      <c:pt idx="14">
                        <c:v>45066</c:v>
                      </c:pt>
                      <c:pt idx="15">
                        <c:v>45093</c:v>
                      </c:pt>
                      <c:pt idx="16">
                        <c:v>45097</c:v>
                      </c:pt>
                      <c:pt idx="17">
                        <c:v>45105</c:v>
                      </c:pt>
                    </c:numCache>
                  </c:numRef>
                </c:val>
                <c:smooth val="0"/>
                <c:extLst xmlns:c15="http://schemas.microsoft.com/office/drawing/2012/chart">
                  <c:ext xmlns:c16="http://schemas.microsoft.com/office/drawing/2014/chart" uri="{C3380CC4-5D6E-409C-BE32-E72D297353CC}">
                    <c16:uniqueId val="{00000004-06A9-4805-AE3C-68379A51FCCB}"/>
                  </c:ext>
                </c:extLst>
              </c15:ser>
            </c15:filteredLineSeries>
          </c:ext>
        </c:extLst>
      </c:lineChart>
      <c:dateAx>
        <c:axId val="110703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043216"/>
        <c:crosses val="autoZero"/>
        <c:auto val="1"/>
        <c:lblOffset val="100"/>
        <c:baseTimeUnit val="months"/>
      </c:dateAx>
      <c:valAx>
        <c:axId val="1107043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03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S CURVE</a:t>
            </a:r>
            <a:r>
              <a:rPr lang="he-IL" sz="1400" b="0" i="0" u="none" strike="noStrike" kern="1200" spc="0" baseline="0">
                <a:solidFill>
                  <a:sysClr val="windowText" lastClr="000000">
                    <a:lumMod val="65000"/>
                    <a:lumOff val="35000"/>
                  </a:sysClr>
                </a:solidFill>
              </a:rPr>
              <a:t>- </a:t>
            </a:r>
            <a:r>
              <a:rPr lang="en-US" sz="1400" b="0" i="0" u="none" strike="noStrike" kern="1200" spc="0" baseline="0">
                <a:solidFill>
                  <a:sysClr val="windowText" lastClr="000000">
                    <a:lumMod val="65000"/>
                    <a:lumOff val="35000"/>
                  </a:sysClr>
                </a:solidFill>
              </a:rPr>
              <a:t>PAS </a:t>
            </a:r>
            <a:r>
              <a:rPr lang="he-IL" sz="1400" b="0" i="0" u="none" strike="noStrike" kern="1200" spc="0" baseline="0">
                <a:solidFill>
                  <a:sysClr val="windowText" lastClr="000000">
                    <a:lumMod val="65000"/>
                    <a:lumOff val="35000"/>
                  </a:sysClr>
                </a:solidFill>
              </a:rPr>
              <a:t>:</a:t>
            </a:r>
            <a:r>
              <a:rPr lang="en-US" sz="1400" b="0" i="0" u="none" strike="noStrike" kern="1200" spc="0" baseline="0">
                <a:solidFill>
                  <a:sysClr val="windowText" lastClr="000000">
                    <a:lumMod val="65000"/>
                    <a:lumOff val="35000"/>
                  </a:sysClr>
                </a:solidFill>
              </a:rPr>
              <a:t> </a:t>
            </a:r>
            <a:r>
              <a:rPr lang="he-IL" sz="1400" b="0" i="0" u="none" strike="noStrike" kern="1200" spc="0" baseline="0">
                <a:solidFill>
                  <a:sysClr val="windowText" lastClr="000000">
                    <a:lumMod val="65000"/>
                    <a:lumOff val="35000"/>
                  </a:sysClr>
                </a:solidFill>
              </a:rPr>
              <a:t>תכנון מול ביצוע מצטבר</a:t>
            </a:r>
            <a:r>
              <a:rPr lang="en-US" sz="1400" b="0" i="0" u="none" strike="noStrike" kern="1200" spc="0" baseline="0">
                <a:solidFill>
                  <a:sysClr val="windowText" lastClr="000000">
                    <a:lumMod val="65000"/>
                    <a:lumOff val="35000"/>
                  </a:sysClr>
                </a:solidFill>
              </a:rPr>
              <a:t> </a:t>
            </a:r>
            <a:endParaRPr lang="he-IL" sz="1400" b="0" i="0" u="none" strike="noStrike" kern="1200" spc="0" baseline="0">
              <a:solidFill>
                <a:sysClr val="windowText" lastClr="000000">
                  <a:lumMod val="65000"/>
                  <a:lumOff val="35000"/>
                </a:sys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'תכנון מול ביצוע נתונים '!$B$1</c:f>
              <c:strCache>
                <c:ptCount val="1"/>
                <c:pt idx="0">
                  <c:v>תכנון מצטבר</c:v>
                </c:pt>
              </c:strCache>
            </c:strRef>
          </c:tx>
          <c:spPr>
            <a:ln w="28575" cap="rnd">
              <a:solidFill>
                <a:schemeClr val="accent1"/>
              </a:solidFill>
              <a:round/>
            </a:ln>
            <a:effectLst/>
          </c:spPr>
          <c:marker>
            <c:symbol val="none"/>
          </c:marker>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'!$B$2:$B$19</c:f>
              <c:numCache>
                <c:formatCode>0%</c:formatCode>
                <c:ptCount val="18"/>
                <c:pt idx="0">
                  <c:v>0.03</c:v>
                </c:pt>
                <c:pt idx="1">
                  <c:v>0.04</c:v>
                </c:pt>
                <c:pt idx="2">
                  <c:v>0.05</c:v>
                </c:pt>
                <c:pt idx="3">
                  <c:v>0.06</c:v>
                </c:pt>
                <c:pt idx="4">
                  <c:v>0.08</c:v>
                </c:pt>
                <c:pt idx="5">
                  <c:v>0.15</c:v>
                </c:pt>
                <c:pt idx="6">
                  <c:v>0.2</c:v>
                </c:pt>
                <c:pt idx="7">
                  <c:v>0.25</c:v>
                </c:pt>
                <c:pt idx="8">
                  <c:v>0.35</c:v>
                </c:pt>
                <c:pt idx="9">
                  <c:v>0.4</c:v>
                </c:pt>
                <c:pt idx="10">
                  <c:v>0.46</c:v>
                </c:pt>
                <c:pt idx="11">
                  <c:v>0.57999999999999996</c:v>
                </c:pt>
                <c:pt idx="12">
                  <c:v>0.62</c:v>
                </c:pt>
                <c:pt idx="13">
                  <c:v>0.69</c:v>
                </c:pt>
                <c:pt idx="14">
                  <c:v>0.7</c:v>
                </c:pt>
                <c:pt idx="15">
                  <c:v>0.8</c:v>
                </c:pt>
                <c:pt idx="16">
                  <c:v>0.89</c:v>
                </c:pt>
                <c:pt idx="17">
                  <c:v>0.95</c:v>
                </c:pt>
              </c:numCache>
            </c:numRef>
          </c:val>
          <c:smooth val="0"/>
          <c:extLst>
            <c:ext xmlns:c16="http://schemas.microsoft.com/office/drawing/2014/chart" uri="{C3380CC4-5D6E-409C-BE32-E72D297353CC}">
              <c16:uniqueId val="{00000000-5C2E-4A5E-9B52-F9A9F199B7A7}"/>
            </c:ext>
          </c:extLst>
        </c:ser>
        <c:ser>
          <c:idx val="1"/>
          <c:order val="1"/>
          <c:tx>
            <c:strRef>
              <c:f>'תכנון מול ביצוע נתונים '!$C$1</c:f>
              <c:strCache>
                <c:ptCount val="1"/>
                <c:pt idx="0">
                  <c:v>בפועל מצטבר</c:v>
                </c:pt>
              </c:strCache>
            </c:strRef>
          </c:tx>
          <c:spPr>
            <a:ln w="28575" cap="rnd">
              <a:solidFill>
                <a:schemeClr val="accent2"/>
              </a:solidFill>
              <a:round/>
            </a:ln>
            <a:effectLst/>
          </c:spPr>
          <c:marker>
            <c:symbol val="none"/>
          </c:marker>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'!$C$2:$C$19</c:f>
              <c:numCache>
                <c:formatCode>0%</c:formatCode>
                <c:ptCount val="18"/>
                <c:pt idx="0">
                  <c:v>0.03</c:v>
                </c:pt>
                <c:pt idx="1">
                  <c:v>0.04</c:v>
                </c:pt>
                <c:pt idx="2">
                  <c:v>0.04</c:v>
                </c:pt>
                <c:pt idx="3">
                  <c:v>0.05</c:v>
                </c:pt>
                <c:pt idx="4">
                  <c:v>7.0000000000000007E-2</c:v>
                </c:pt>
                <c:pt idx="5">
                  <c:v>0.13</c:v>
                </c:pt>
                <c:pt idx="6">
                  <c:v>0.19</c:v>
                </c:pt>
                <c:pt idx="7">
                  <c:v>0.24</c:v>
                </c:pt>
                <c:pt idx="8">
                  <c:v>0.28999999999999998</c:v>
                </c:pt>
                <c:pt idx="9">
                  <c:v>0.36</c:v>
                </c:pt>
                <c:pt idx="10">
                  <c:v>0.42</c:v>
                </c:pt>
                <c:pt idx="11">
                  <c:v>0.54</c:v>
                </c:pt>
                <c:pt idx="12">
                  <c:v>0.57999999999999996</c:v>
                </c:pt>
                <c:pt idx="13">
                  <c:v>0.65</c:v>
                </c:pt>
                <c:pt idx="14">
                  <c:v>0.66</c:v>
                </c:pt>
                <c:pt idx="15">
                  <c:v>0.77</c:v>
                </c:pt>
                <c:pt idx="16">
                  <c:v>0.86</c:v>
                </c:pt>
                <c:pt idx="17">
                  <c:v>0.92</c:v>
                </c:pt>
              </c:numCache>
            </c:numRef>
          </c:val>
          <c:smooth val="0"/>
          <c:extLst>
            <c:ext xmlns:c16="http://schemas.microsoft.com/office/drawing/2014/chart" uri="{C3380CC4-5D6E-409C-BE32-E72D297353CC}">
              <c16:uniqueId val="{00000001-5C2E-4A5E-9B52-F9A9F199B7A7}"/>
            </c:ext>
          </c:extLst>
        </c:ser>
        <c:dLbls>
          <c:showLegendKey val="0"/>
          <c:showVal val="0"/>
          <c:showCatName val="0"/>
          <c:showSerName val="0"/>
          <c:showPercent val="0"/>
          <c:showBubbleSize val="0"/>
        </c:dLbls>
        <c:smooth val="0"/>
        <c:axId val="1061539568"/>
        <c:axId val="1061538128"/>
      </c:lineChart>
      <c:dateAx>
        <c:axId val="10615395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538128"/>
        <c:crosses val="autoZero"/>
        <c:auto val="1"/>
        <c:lblOffset val="100"/>
        <c:baseTimeUnit val="months"/>
      </c:dateAx>
      <c:valAx>
        <c:axId val="1061538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53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he-IL"/>
              <a:t>תכנון מול ביצוע (אחוז חושדית)</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'תכנון מול ביצוע נתונים '!$D$1</c:f>
              <c:strCache>
                <c:ptCount val="1"/>
                <c:pt idx="0">
                  <c:v>תכנון לחודש</c:v>
                </c:pt>
              </c:strCache>
            </c:strRef>
          </c:tx>
          <c:spPr>
            <a:solidFill>
              <a:schemeClr val="accent3"/>
            </a:solidFill>
            <a:ln>
              <a:noFill/>
            </a:ln>
            <a:effectLst/>
          </c:spPr>
          <c:invertIfNegative val="0"/>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'!$D$2:$D$19</c:f>
              <c:numCache>
                <c:formatCode>0%</c:formatCode>
                <c:ptCount val="18"/>
                <c:pt idx="0">
                  <c:v>0.03</c:v>
                </c:pt>
                <c:pt idx="1">
                  <c:v>1.0000000000000002E-2</c:v>
                </c:pt>
                <c:pt idx="2">
                  <c:v>1.0000000000000002E-2</c:v>
                </c:pt>
                <c:pt idx="3">
                  <c:v>9.999999999999995E-3</c:v>
                </c:pt>
                <c:pt idx="4">
                  <c:v>2.0000000000000004E-2</c:v>
                </c:pt>
                <c:pt idx="5">
                  <c:v>6.9999999999999993E-2</c:v>
                </c:pt>
                <c:pt idx="6">
                  <c:v>5.0000000000000017E-2</c:v>
                </c:pt>
                <c:pt idx="7">
                  <c:v>4.9999999999999989E-2</c:v>
                </c:pt>
                <c:pt idx="8">
                  <c:v>9.9999999999999978E-2</c:v>
                </c:pt>
                <c:pt idx="9">
                  <c:v>5.0000000000000044E-2</c:v>
                </c:pt>
                <c:pt idx="10">
                  <c:v>0.06</c:v>
                </c:pt>
                <c:pt idx="11">
                  <c:v>0.11999999999999994</c:v>
                </c:pt>
                <c:pt idx="12">
                  <c:v>4.0000000000000036E-2</c:v>
                </c:pt>
                <c:pt idx="13">
                  <c:v>6.9999999999999951E-2</c:v>
                </c:pt>
                <c:pt idx="14">
                  <c:v>1.0000000000000009E-2</c:v>
                </c:pt>
                <c:pt idx="15">
                  <c:v>0.10000000000000009</c:v>
                </c:pt>
                <c:pt idx="16">
                  <c:v>8.9999999999999969E-2</c:v>
                </c:pt>
                <c:pt idx="17">
                  <c:v>5.9999999999999942E-2</c:v>
                </c:pt>
              </c:numCache>
            </c:numRef>
          </c:val>
          <c:extLst>
            <c:ext xmlns:c16="http://schemas.microsoft.com/office/drawing/2014/chart" uri="{C3380CC4-5D6E-409C-BE32-E72D297353CC}">
              <c16:uniqueId val="{00000002-7B8F-456D-9D8C-5C6C2EE86441}"/>
            </c:ext>
          </c:extLst>
        </c:ser>
        <c:ser>
          <c:idx val="3"/>
          <c:order val="1"/>
          <c:tx>
            <c:strRef>
              <c:f>'תכנון מול ביצוע נתונים '!$E$1</c:f>
              <c:strCache>
                <c:ptCount val="1"/>
                <c:pt idx="0">
                  <c:v>בפועל לחודש</c:v>
                </c:pt>
              </c:strCache>
            </c:strRef>
          </c:tx>
          <c:spPr>
            <a:solidFill>
              <a:schemeClr val="accent4"/>
            </a:solidFill>
            <a:ln>
              <a:noFill/>
            </a:ln>
            <a:effectLst/>
          </c:spPr>
          <c:invertIfNegative val="0"/>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'!$E$2:$E$19</c:f>
              <c:numCache>
                <c:formatCode>0%</c:formatCode>
                <c:ptCount val="18"/>
                <c:pt idx="0">
                  <c:v>0.03</c:v>
                </c:pt>
                <c:pt idx="1">
                  <c:v>1.0000000000000002E-2</c:v>
                </c:pt>
                <c:pt idx="2">
                  <c:v>0</c:v>
                </c:pt>
                <c:pt idx="3">
                  <c:v>1.0000000000000002E-2</c:v>
                </c:pt>
                <c:pt idx="4">
                  <c:v>2.0000000000000004E-2</c:v>
                </c:pt>
                <c:pt idx="5">
                  <c:v>0.06</c:v>
                </c:pt>
                <c:pt idx="6">
                  <c:v>0.06</c:v>
                </c:pt>
                <c:pt idx="7">
                  <c:v>4.9999999999999989E-2</c:v>
                </c:pt>
                <c:pt idx="8">
                  <c:v>4.9999999999999989E-2</c:v>
                </c:pt>
                <c:pt idx="9">
                  <c:v>7.0000000000000007E-2</c:v>
                </c:pt>
                <c:pt idx="10">
                  <c:v>0.06</c:v>
                </c:pt>
                <c:pt idx="11">
                  <c:v>0.12000000000000005</c:v>
                </c:pt>
                <c:pt idx="12">
                  <c:v>3.9999999999999925E-2</c:v>
                </c:pt>
                <c:pt idx="13">
                  <c:v>7.0000000000000062E-2</c:v>
                </c:pt>
                <c:pt idx="14">
                  <c:v>1.0000000000000009E-2</c:v>
                </c:pt>
                <c:pt idx="15">
                  <c:v>0.10999999999999999</c:v>
                </c:pt>
                <c:pt idx="16">
                  <c:v>8.9999999999999969E-2</c:v>
                </c:pt>
                <c:pt idx="17">
                  <c:v>6.0000000000000053E-2</c:v>
                </c:pt>
              </c:numCache>
            </c:numRef>
          </c:val>
          <c:extLst>
            <c:ext xmlns:c16="http://schemas.microsoft.com/office/drawing/2014/chart" uri="{C3380CC4-5D6E-409C-BE32-E72D297353CC}">
              <c16:uniqueId val="{00000003-7B8F-456D-9D8C-5C6C2EE86441}"/>
            </c:ext>
          </c:extLst>
        </c:ser>
        <c:dLbls>
          <c:showLegendKey val="0"/>
          <c:showVal val="0"/>
          <c:showCatName val="0"/>
          <c:showSerName val="0"/>
          <c:showPercent val="0"/>
          <c:showBubbleSize val="0"/>
        </c:dLbls>
        <c:gapWidth val="219"/>
        <c:overlap val="-27"/>
        <c:axId val="1107055696"/>
        <c:axId val="1107031216"/>
      </c:barChart>
      <c:dateAx>
        <c:axId val="11070556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031216"/>
        <c:crosses val="autoZero"/>
        <c:auto val="1"/>
        <c:lblOffset val="100"/>
        <c:baseTimeUnit val="months"/>
      </c:dateAx>
      <c:valAx>
        <c:axId val="1107031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7055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he-I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0"/>
          <c:tx>
            <c:strRef>
              <c:f>'תכנון מול ביצוע נתונים '!$F$1</c:f>
              <c:strCache>
                <c:ptCount val="1"/>
                <c:pt idx="0">
                  <c:v>חודש סיום צפוי</c:v>
                </c:pt>
              </c:strCache>
            </c:strRef>
          </c:tx>
          <c:spPr>
            <a:ln w="28575" cap="rnd">
              <a:solidFill>
                <a:schemeClr val="accent6"/>
              </a:solidFill>
              <a:round/>
            </a:ln>
            <a:effectLst/>
          </c:spPr>
          <c:marker>
            <c:symbol val="none"/>
          </c:marker>
          <c:cat>
            <c:numRef>
              <c:f>'תכנון מול ביצוע נתונים '!$A$2:$A$19</c:f>
              <c:numCache>
                <c:formatCode>m/d/yyyy</c:formatCode>
                <c:ptCount val="18"/>
                <c:pt idx="0">
                  <c:v>44531</c:v>
                </c:pt>
                <c:pt idx="1">
                  <c:v>44562</c:v>
                </c:pt>
                <c:pt idx="2">
                  <c:v>44593</c:v>
                </c:pt>
                <c:pt idx="3">
                  <c:v>44621</c:v>
                </c:pt>
                <c:pt idx="4">
                  <c:v>44652</c:v>
                </c:pt>
                <c:pt idx="5">
                  <c:v>44682</c:v>
                </c:pt>
                <c:pt idx="6">
                  <c:v>44713</c:v>
                </c:pt>
                <c:pt idx="7">
                  <c:v>44743</c:v>
                </c:pt>
                <c:pt idx="8">
                  <c:v>44774</c:v>
                </c:pt>
                <c:pt idx="9">
                  <c:v>44805</c:v>
                </c:pt>
                <c:pt idx="10">
                  <c:v>44835</c:v>
                </c:pt>
                <c:pt idx="11">
                  <c:v>44866</c:v>
                </c:pt>
                <c:pt idx="12">
                  <c:v>44896</c:v>
                </c:pt>
                <c:pt idx="13">
                  <c:v>44927</c:v>
                </c:pt>
                <c:pt idx="14">
                  <c:v>44958</c:v>
                </c:pt>
                <c:pt idx="15">
                  <c:v>44986</c:v>
                </c:pt>
                <c:pt idx="16">
                  <c:v>45017</c:v>
                </c:pt>
                <c:pt idx="17">
                  <c:v>45047</c:v>
                </c:pt>
              </c:numCache>
            </c:numRef>
          </c:cat>
          <c:val>
            <c:numRef>
              <c:f>'תכנון מול ביצוע נתונים '!$F$2:$F$19</c:f>
              <c:numCache>
                <c:formatCode>m/d/yyyy</c:formatCode>
                <c:ptCount val="18"/>
                <c:pt idx="0">
                  <c:v>44996</c:v>
                </c:pt>
                <c:pt idx="1">
                  <c:v>45000</c:v>
                </c:pt>
                <c:pt idx="2">
                  <c:v>45003</c:v>
                </c:pt>
                <c:pt idx="3">
                  <c:v>45015</c:v>
                </c:pt>
                <c:pt idx="4">
                  <c:v>45020</c:v>
                </c:pt>
                <c:pt idx="5">
                  <c:v>45026</c:v>
                </c:pt>
                <c:pt idx="6">
                  <c:v>45026</c:v>
                </c:pt>
                <c:pt idx="7">
                  <c:v>45031</c:v>
                </c:pt>
                <c:pt idx="8">
                  <c:v>45032</c:v>
                </c:pt>
                <c:pt idx="9">
                  <c:v>45034</c:v>
                </c:pt>
                <c:pt idx="10">
                  <c:v>45036</c:v>
                </c:pt>
                <c:pt idx="11">
                  <c:v>45041</c:v>
                </c:pt>
                <c:pt idx="12">
                  <c:v>45047</c:v>
                </c:pt>
                <c:pt idx="13">
                  <c:v>45061</c:v>
                </c:pt>
                <c:pt idx="14">
                  <c:v>45066</c:v>
                </c:pt>
                <c:pt idx="15">
                  <c:v>45093</c:v>
                </c:pt>
                <c:pt idx="16">
                  <c:v>45097</c:v>
                </c:pt>
                <c:pt idx="17">
                  <c:v>45105</c:v>
                </c:pt>
              </c:numCache>
            </c:numRef>
          </c:val>
          <c:smooth val="0"/>
          <c:extLst>
            <c:ext xmlns:c16="http://schemas.microsoft.com/office/drawing/2014/chart" uri="{C3380CC4-5D6E-409C-BE32-E72D297353CC}">
              <c16:uniqueId val="{00000005-6C69-46AE-96A2-F2306F94D411}"/>
            </c:ext>
          </c:extLst>
        </c:ser>
        <c:dLbls>
          <c:showLegendKey val="0"/>
          <c:showVal val="0"/>
          <c:showCatName val="0"/>
          <c:showSerName val="0"/>
          <c:showPercent val="0"/>
          <c:showBubbleSize val="0"/>
        </c:dLbls>
        <c:smooth val="0"/>
        <c:axId val="594103551"/>
        <c:axId val="594100191"/>
      </c:lineChart>
      <c:dateAx>
        <c:axId val="594103551"/>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00191"/>
        <c:crosses val="autoZero"/>
        <c:auto val="1"/>
        <c:lblOffset val="100"/>
        <c:baseTimeUnit val="months"/>
      </c:dateAx>
      <c:valAx>
        <c:axId val="594100191"/>
        <c:scaling>
          <c:orientation val="minMax"/>
        </c:scaling>
        <c:delete val="0"/>
        <c:axPos val="l"/>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1035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415274</xdr:colOff>
      <xdr:row>16</xdr:row>
      <xdr:rowOff>149540</xdr:rowOff>
    </xdr:from>
    <xdr:to>
      <xdr:col>12</xdr:col>
      <xdr:colOff>314031</xdr:colOff>
      <xdr:row>27</xdr:row>
      <xdr:rowOff>72836</xdr:rowOff>
    </xdr:to>
    <xdr:graphicFrame macro="">
      <xdr:nvGraphicFramePr>
        <xdr:cNvPr id="6" name="תרשים 5">
          <a:extLst>
            <a:ext uri="{FF2B5EF4-FFF2-40B4-BE49-F238E27FC236}">
              <a16:creationId xmlns:a16="http://schemas.microsoft.com/office/drawing/2014/main" id="{181B15A4-3EE3-DD06-4DCB-E1DCC72AA7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362848</xdr:colOff>
      <xdr:row>0</xdr:row>
      <xdr:rowOff>85618</xdr:rowOff>
    </xdr:from>
    <xdr:to>
      <xdr:col>14</xdr:col>
      <xdr:colOff>237118</xdr:colOff>
      <xdr:row>12</xdr:row>
      <xdr:rowOff>177058</xdr:rowOff>
    </xdr:to>
    <xdr:graphicFrame macro="">
      <xdr:nvGraphicFramePr>
        <xdr:cNvPr id="8" name="תרשים 7">
          <a:extLst>
            <a:ext uri="{FF2B5EF4-FFF2-40B4-BE49-F238E27FC236}">
              <a16:creationId xmlns:a16="http://schemas.microsoft.com/office/drawing/2014/main" id="{5C53283F-EA25-A28B-1FD2-318F8E6A4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531232</xdr:colOff>
      <xdr:row>17</xdr:row>
      <xdr:rowOff>6867</xdr:rowOff>
    </xdr:from>
    <xdr:to>
      <xdr:col>18</xdr:col>
      <xdr:colOff>565804</xdr:colOff>
      <xdr:row>28</xdr:row>
      <xdr:rowOff>27936</xdr:rowOff>
    </xdr:to>
    <xdr:graphicFrame macro="">
      <xdr:nvGraphicFramePr>
        <xdr:cNvPr id="9" name="תרשים 8">
          <a:extLst>
            <a:ext uri="{FF2B5EF4-FFF2-40B4-BE49-F238E27FC236}">
              <a16:creationId xmlns:a16="http://schemas.microsoft.com/office/drawing/2014/main" id="{F94F6C81-B1D8-587E-4D90-88D6851E8D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329515</xdr:colOff>
      <xdr:row>0</xdr:row>
      <xdr:rowOff>95765</xdr:rowOff>
    </xdr:from>
    <xdr:to>
      <xdr:col>22</xdr:col>
      <xdr:colOff>432487</xdr:colOff>
      <xdr:row>16</xdr:row>
      <xdr:rowOff>175055</xdr:rowOff>
    </xdr:to>
    <xdr:graphicFrame macro="">
      <xdr:nvGraphicFramePr>
        <xdr:cNvPr id="2" name="תרשים 1">
          <a:extLst>
            <a:ext uri="{FF2B5EF4-FFF2-40B4-BE49-F238E27FC236}">
              <a16:creationId xmlns:a16="http://schemas.microsoft.com/office/drawing/2014/main" id="{68766C33-2968-E0D4-D2C5-B33E2EE5B7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160020</xdr:rowOff>
    </xdr:from>
    <xdr:to>
      <xdr:col>8</xdr:col>
      <xdr:colOff>274320</xdr:colOff>
      <xdr:row>12</xdr:row>
      <xdr:rowOff>30480</xdr:rowOff>
    </xdr:to>
    <xdr:sp macro="" textlink="">
      <xdr:nvSpPr>
        <xdr:cNvPr id="2" name="מלבן 1">
          <a:extLst>
            <a:ext uri="{FF2B5EF4-FFF2-40B4-BE49-F238E27FC236}">
              <a16:creationId xmlns:a16="http://schemas.microsoft.com/office/drawing/2014/main" id="{7AA9E5D6-F877-C2FA-3383-2B84B198C763}"/>
            </a:ext>
          </a:extLst>
        </xdr:cNvPr>
        <xdr:cNvSpPr/>
      </xdr:nvSpPr>
      <xdr:spPr>
        <a:xfrm flipH="1">
          <a:off x="9982535280" y="160020"/>
          <a:ext cx="4541520" cy="2065020"/>
        </a:xfrm>
        <a:prstGeom prst="rect">
          <a:avLst/>
        </a:prstGeom>
        <a:solidFill>
          <a:schemeClr val="accent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he-IL" sz="1400" b="1">
              <a:solidFill>
                <a:sysClr val="windowText" lastClr="000000"/>
              </a:solidFill>
            </a:rPr>
            <a:t>1.</a:t>
          </a:r>
          <a:r>
            <a:rPr lang="he-IL" sz="1400" b="1" baseline="0">
              <a:solidFill>
                <a:sysClr val="windowText" lastClr="000000"/>
              </a:solidFill>
            </a:rPr>
            <a:t> ציון של תכנון הפרויקט</a:t>
          </a:r>
        </a:p>
        <a:p>
          <a:pPr algn="r"/>
          <a:r>
            <a:rPr lang="he-IL" sz="1400" b="1" baseline="0">
              <a:solidFill>
                <a:sysClr val="windowText" lastClr="000000"/>
              </a:solidFill>
            </a:rPr>
            <a:t>		   </a:t>
          </a:r>
        </a:p>
        <a:p>
          <a:pPr algn="r"/>
          <a:r>
            <a:rPr lang="he-IL" sz="1400" b="0" baseline="0">
              <a:solidFill>
                <a:sysClr val="windowText" lastClr="000000"/>
              </a:solidFill>
            </a:rPr>
            <a:t>נובע ממקור </a:t>
          </a:r>
        </a:p>
        <a:p>
          <a:pPr algn="r"/>
          <a:r>
            <a:rPr lang="he-IL" sz="1100" baseline="0">
              <a:solidFill>
                <a:sysClr val="windowText" lastClr="000000"/>
              </a:solidFill>
            </a:rPr>
            <a:t> </a:t>
          </a:r>
        </a:p>
        <a:p>
          <a:pPr algn="r"/>
          <a:endParaRPr lang="en-US" sz="1100">
            <a:solidFill>
              <a:sysClr val="windowText" lastClr="000000"/>
            </a:solidFill>
          </a:endParaRPr>
        </a:p>
      </xdr:txBody>
    </xdr:sp>
    <xdr:clientData/>
  </xdr:twoCellAnchor>
  <xdr:twoCellAnchor>
    <xdr:from>
      <xdr:col>8</xdr:col>
      <xdr:colOff>449580</xdr:colOff>
      <xdr:row>0</xdr:row>
      <xdr:rowOff>160020</xdr:rowOff>
    </xdr:from>
    <xdr:to>
      <xdr:col>16</xdr:col>
      <xdr:colOff>114300</xdr:colOff>
      <xdr:row>12</xdr:row>
      <xdr:rowOff>30480</xdr:rowOff>
    </xdr:to>
    <xdr:sp macro="" textlink="">
      <xdr:nvSpPr>
        <xdr:cNvPr id="3" name="מלבן 2">
          <a:extLst>
            <a:ext uri="{FF2B5EF4-FFF2-40B4-BE49-F238E27FC236}">
              <a16:creationId xmlns:a16="http://schemas.microsoft.com/office/drawing/2014/main" id="{26AC7CBC-FEE5-4408-9153-558745BA5D90}"/>
            </a:ext>
          </a:extLst>
        </xdr:cNvPr>
        <xdr:cNvSpPr/>
      </xdr:nvSpPr>
      <xdr:spPr>
        <a:xfrm flipH="1">
          <a:off x="9977818500" y="160020"/>
          <a:ext cx="4541520" cy="20650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a:p>
      </xdr:txBody>
    </xdr:sp>
    <xdr:clientData/>
  </xdr:twoCellAnchor>
  <xdr:twoCellAnchor>
    <xdr:from>
      <xdr:col>1</xdr:col>
      <xdr:colOff>30480</xdr:colOff>
      <xdr:row>13</xdr:row>
      <xdr:rowOff>0</xdr:rowOff>
    </xdr:from>
    <xdr:to>
      <xdr:col>8</xdr:col>
      <xdr:colOff>304800</xdr:colOff>
      <xdr:row>24</xdr:row>
      <xdr:rowOff>53340</xdr:rowOff>
    </xdr:to>
    <xdr:sp macro="" textlink="">
      <xdr:nvSpPr>
        <xdr:cNvPr id="4" name="מלבן 3">
          <a:extLst>
            <a:ext uri="{FF2B5EF4-FFF2-40B4-BE49-F238E27FC236}">
              <a16:creationId xmlns:a16="http://schemas.microsoft.com/office/drawing/2014/main" id="{52B0F085-E84D-478E-9849-E7183EE61CB7}"/>
            </a:ext>
          </a:extLst>
        </xdr:cNvPr>
        <xdr:cNvSpPr/>
      </xdr:nvSpPr>
      <xdr:spPr>
        <a:xfrm flipH="1">
          <a:off x="9982504800" y="2377440"/>
          <a:ext cx="4541520" cy="20650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a:p>
      </xdr:txBody>
    </xdr:sp>
    <xdr:clientData/>
  </xdr:twoCellAnchor>
  <xdr:twoCellAnchor>
    <xdr:from>
      <xdr:col>8</xdr:col>
      <xdr:colOff>457200</xdr:colOff>
      <xdr:row>13</xdr:row>
      <xdr:rowOff>15240</xdr:rowOff>
    </xdr:from>
    <xdr:to>
      <xdr:col>16</xdr:col>
      <xdr:colOff>121920</xdr:colOff>
      <xdr:row>24</xdr:row>
      <xdr:rowOff>68580</xdr:rowOff>
    </xdr:to>
    <xdr:sp macro="" textlink="">
      <xdr:nvSpPr>
        <xdr:cNvPr id="5" name="מלבן 4">
          <a:extLst>
            <a:ext uri="{FF2B5EF4-FFF2-40B4-BE49-F238E27FC236}">
              <a16:creationId xmlns:a16="http://schemas.microsoft.com/office/drawing/2014/main" id="{05A7F7DF-EBCE-4954-B557-FAB4A630F1D4}"/>
            </a:ext>
          </a:extLst>
        </xdr:cNvPr>
        <xdr:cNvSpPr/>
      </xdr:nvSpPr>
      <xdr:spPr>
        <a:xfrm flipH="1">
          <a:off x="9977810880" y="2392680"/>
          <a:ext cx="4541520" cy="20650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rtl="1"/>
          <a:endParaRPr lang="en-US"/>
        </a:p>
      </xdr:txBody>
    </xdr:sp>
    <xdr:clientData/>
  </xdr:twoCellAnchor>
</xdr:wsDr>
</file>

<file path=xl/persons/person.xml><?xml version="1.0" encoding="utf-8"?>
<personList xmlns="http://schemas.microsoft.com/office/spreadsheetml/2018/threadedcomments" xmlns:x="http://schemas.openxmlformats.org/spreadsheetml/2006/main">
  <person displayName="Leah Lieberman" id="{D15650A1-4CD1-4A77-800A-F8C1259BED8D}" userId="3bf682fce716370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8BEE7-13CC-4994-B3BB-2CE8912B91F9}" name="טבלה1" displayName="טבלה1" ref="A1:F19" totalsRowShown="0" headerRowDxfId="27">
  <autoFilter ref="A1:F19" xr:uid="{09F8BEE7-13CC-4994-B3BB-2CE8912B91F9}"/>
  <tableColumns count="6">
    <tableColumn id="1" xr3:uid="{2A6A5503-D927-4BE0-991C-B5F4CEC8E2AE}" name="חודש"/>
    <tableColumn id="2" xr3:uid="{F5DAA99D-ACCC-4D41-9B2F-C3C13554F2D7}" name="תכנון מצטבר" dataCellStyle="Percent">
      <calculatedColumnFormula>3%</calculatedColumnFormula>
    </tableColumn>
    <tableColumn id="3" xr3:uid="{DB92F7F1-6C6A-429E-9583-D5B20307A862}" name="בפועל מצטבר" dataCellStyle="Percent">
      <calculatedColumnFormula>3</calculatedColumnFormula>
    </tableColumn>
    <tableColumn id="4" xr3:uid="{C5F6FD17-06B2-46B8-A388-E77ACCA4FCAF}" name="תכנון לחודש" dataDxfId="26">
      <calculatedColumnFormula>(טבלה1[[#This Row],[תכנון מצטבר]]-B1)</calculatedColumnFormula>
    </tableColumn>
    <tableColumn id="5" xr3:uid="{747B0C06-116D-4037-B116-59E5CE03EFBC}" name="בפועל לחודש" dataDxfId="25"/>
    <tableColumn id="6" xr3:uid="{3E79A513-7788-4508-95F7-D7DBA6FFBC51}" name="חודש סיום צפוי" dataDxfId="2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399469-2252-4221-908B-D36793B44060}" name="Table2" displayName="Table2" ref="B1:J22" totalsRowCount="1" headerRowDxfId="23" dataDxfId="21" headerRowBorderDxfId="22" tableBorderDxfId="20">
  <autoFilter ref="B1:J21" xr:uid="{7F022A87-527A-4B30-A97B-3DBC0677477B}"/>
  <tableColumns count="9">
    <tableColumn id="1" xr3:uid="{E52BACD7-E724-4458-9980-EE8389F2D487}" name="EXPLANATION FOR NOW" dataDxfId="19" totalsRowDxfId="18"/>
    <tableColumn id="2" xr3:uid="{30E29F87-C7FA-4820-A722-FE9E804D9A6B}" name="נושא" dataDxfId="17" totalsRowDxfId="16"/>
    <tableColumn id="3" xr3:uid="{52B15A62-8E5C-45C3-B82B-AF49CF521BF5}" name="פעילויות" dataDxfId="15" totalsRowDxfId="14"/>
    <tableColumn id="4" xr3:uid="{6A681232-CE48-441B-983D-FD462A43F18C}" name="אחוזים" dataDxfId="13" totalsRowDxfId="12" dataCellStyle="Percent"/>
    <tableColumn id="5" xr3:uid="{FA151338-E6F3-42BA-BD17-49DF461D2C56}" name="גבול" dataDxfId="11" totalsRowDxfId="10"/>
    <tableColumn id="6" xr3:uid="{F7E5487C-3C7F-4DC5-9D9E-1F4FC682D985}" name="הפרש" dataDxfId="9" totalsRowDxfId="8">
      <calculatedColumnFormula>Table2[[#This Row],[גבול]]-Table2[[#This Row],[אחוזים]]</calculatedColumnFormula>
    </tableColumn>
    <tableColumn id="7" xr3:uid="{7832353D-64C1-49AA-94EA-DEDD65268A9C}" name="משקל" dataDxfId="7" totalsRowDxfId="6">
      <calculatedColumnFormula>100/COUNTIF($B$3:$B$21, "V")</calculatedColumnFormula>
    </tableColumn>
    <tableColumn id="8" xr3:uid="{DDE82176-1CAE-4A42-BBA2-13CC761C587E}" name="ציון" dataDxfId="5" totalsRowDxfId="4"/>
    <tableColumn id="9" xr3:uid="{D2CE7EED-6C92-4ADB-B3DD-B7844F57CFBD}" name="סה&quot;כ" totalsRowFunction="custom" dataDxfId="3" totalsRowDxfId="2" dataCellStyle="Percent">
      <calculatedColumnFormula>Table2[[#This Row],[ציון]]*Table2[[#This Row],[משקל]]</calculatedColumnFormula>
      <totalsRowFormula>SUM(J3:J21)</totalsRowFormula>
    </tableColum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4C85B9-3A9F-42F5-823E-151F74E3E8F3}" name="טבלה2" displayName="טבלה2" ref="A1:D31" totalsRowShown="0" headerRowDxfId="1">
  <autoFilter ref="A1:D31" xr:uid="{2F4C85B9-3A9F-42F5-823E-151F74E3E8F3}"/>
  <tableColumns count="4">
    <tableColumn id="1" xr3:uid="{C4BB03E4-AE3B-4CB2-B5FC-FB4B85F4AC43}" name="קריטיות ">
      <calculatedColumnFormula>"דוגמא " &amp; (ROW()-1)</calculatedColumnFormula>
    </tableColumn>
    <tableColumn id="2" xr3:uid="{1F1D35C2-2A31-45F0-8FD5-C997DB03F1E1}" name="סטטות מתוכנן"/>
    <tableColumn id="3" xr3:uid="{564544B9-D4AB-4F72-9D4A-C08C8D243191}" name="סטטוס בפועל"/>
    <tableColumn id="4" xr3:uid="{A79200A2-56DA-4277-AD70-68E0AE050976}" name="מתוכנןן מול ביצוע" dataDxfId="0">
      <calculatedColumnFormula>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calculatedColumnFormula>
    </tableColumn>
  </tableColumns>
  <tableStyleInfo name="TableStyleLight11" showFirstColumn="0" showLastColumn="0" showRowStripes="1" showColumnStripes="0"/>
</table>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3-05-04T08:40:45.65" personId="{D15650A1-4CD1-4A77-800A-F8C1259BED8D}" id="{52667020-3E27-4D69-95D1-AE4C5F22D542}">
    <text xml:space="preserve">היי עדי- מה שעשיתי עד עכשיו הוא לבנות הטבלאות שאנחנו צריכות בגיליון (תכנון מול ביצוע) ובגיליון הזה (טבלאות סיכום) יש טבלאות של חישובים מהנתונים האלו עם נוסחאות המתאימים כבר שם מחובר לנתונים שצריכים לגלוש מMS בסוף. </text>
  </threadedComment>
</ThreadedComments>
</file>

<file path=xl/threadedComments/threadedComment2.xml><?xml version="1.0" encoding="utf-8"?>
<ThreadedComments xmlns="http://schemas.microsoft.com/office/spreadsheetml/2018/threadedcomments" xmlns:x="http://schemas.openxmlformats.org/spreadsheetml/2006/main">
  <threadedComment ref="B1" dT="2023-05-04T08:46:43.10" personId="{D15650A1-4CD1-4A77-800A-F8C1259BED8D}" id="{663F374A-A21B-4FFB-8870-592C5726F10A}">
    <text>נתוני BASELINE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1.xm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C4136-8E69-4B40-8084-B17D546CA066}">
  <sheetPr codeName="Worksheet______1"/>
  <dimension ref="A1:L27"/>
  <sheetViews>
    <sheetView rightToLeft="1" tabSelected="1" zoomScale="69" workbookViewId="0">
      <selection activeCell="H20" sqref="H20"/>
    </sheetView>
  </sheetViews>
  <sheetFormatPr defaultRowHeight="13.8" x14ac:dyDescent="0.25"/>
  <cols>
    <col min="1" max="1" width="10.5546875" style="10" customWidth="1"/>
    <col min="2" max="2" width="23.77734375" style="10" customWidth="1"/>
    <col min="3" max="3" width="12.33203125" style="10" customWidth="1"/>
    <col min="4" max="4" width="2.33203125" style="10" customWidth="1"/>
    <col min="5" max="5" width="17.6640625" style="10" customWidth="1"/>
    <col min="6" max="6" width="15.88671875" style="10" customWidth="1"/>
    <col min="7" max="7" width="4.21875" style="10" customWidth="1"/>
    <col min="8" max="8" width="39.33203125" style="10" customWidth="1"/>
    <col min="9" max="9" width="15.33203125" style="10" customWidth="1"/>
    <col min="10" max="10" width="8.88671875" style="10" customWidth="1"/>
    <col min="11" max="11" width="13" style="10" customWidth="1"/>
    <col min="12" max="12" width="15.77734375" style="10" customWidth="1"/>
    <col min="13" max="16384" width="8.88671875" style="10"/>
  </cols>
  <sheetData>
    <row r="1" spans="1:12" x14ac:dyDescent="0.25"/>
    <row r="2" spans="1:12" x14ac:dyDescent="0.25">
      <c r="A2" s="53" t="s">
        <v>33</v>
      </c>
      <c r="B2" s="5" t="s">
        <v>14</v>
      </c>
      <c r="C2" s="4" t="s">
        <v>2</v>
      </c>
      <c r="D2" s="4"/>
      <c r="E2" s="28" t="str">
        <f>IF(C2="הסתיים", "תאריך סיום הפרויקט", "תאריך סיום צפוי")</f>
        <v>תאריך סיום צפוי</v>
      </c>
      <c r="F2" s="6" cm="1">
        <f t="array" ref="F2">IF(C2="הסתיים", FINISH DATE GRAB, C13)</f>
        <v>45105</v>
      </c>
      <c r="G2" s="7"/>
      <c r="H2" s="29" t="s">
        <v>17</v>
      </c>
      <c r="I2" s="8">
        <v>45050</v>
      </c>
      <c r="J2" s="9"/>
      <c r="K2" s="9"/>
    </row>
    <row r="3" spans="1:12" x14ac:dyDescent="0.25">
      <c r="A3" s="53"/>
      <c r="B3" s="4"/>
      <c r="C3" s="4"/>
      <c r="D3" s="4"/>
      <c r="E3" s="4"/>
      <c r="F3" s="4"/>
      <c r="G3" s="7"/>
      <c r="H3" s="7"/>
      <c r="I3" s="7"/>
      <c r="J3" s="9"/>
      <c r="K3" s="9"/>
    </row>
    <row r="4" spans="1:12" x14ac:dyDescent="0.25">
      <c r="A4" s="53"/>
      <c r="B4" s="5" t="s">
        <v>12</v>
      </c>
      <c r="C4" s="6">
        <v>44531</v>
      </c>
      <c r="D4" s="4"/>
      <c r="E4" s="28" t="s">
        <v>13</v>
      </c>
      <c r="F4" s="11">
        <f ca="1">IF(C2="בפועל",(YEAR(TODAY())-YEAR(C4))*12+MONTH(TODAY())-MONTH(C4), (YEAR(F2)-YEAR(C4))*12+MONTH(F2)-MONTH(C4))</f>
        <v>17</v>
      </c>
      <c r="G4" s="7"/>
      <c r="H4" s="30" t="s">
        <v>31</v>
      </c>
      <c r="I4" s="27">
        <f>IF(MONTH(I2)=1,DATE(YEAR(I2)-1,12,1),DATE(YEAR(I2),MONTH(I2)-1,1))</f>
        <v>45017</v>
      </c>
      <c r="J4" s="12"/>
      <c r="K4" s="9"/>
    </row>
    <row r="5" spans="1:12" x14ac:dyDescent="0.25">
      <c r="G5" s="9"/>
      <c r="H5" s="9"/>
      <c r="I5" s="9"/>
      <c r="J5" s="9"/>
      <c r="K5" s="14"/>
      <c r="L5" s="14"/>
    </row>
    <row r="6" spans="1:12" x14ac:dyDescent="0.25">
      <c r="A6" s="54" t="s">
        <v>4</v>
      </c>
      <c r="B6" s="56" t="s">
        <v>0</v>
      </c>
      <c r="C6" s="56"/>
      <c r="D6" s="13"/>
      <c r="E6" s="56" t="s">
        <v>32</v>
      </c>
      <c r="F6" s="56"/>
      <c r="G6" s="9"/>
      <c r="H6" s="55" t="s">
        <v>15</v>
      </c>
      <c r="I6" s="55"/>
      <c r="J6" s="14"/>
      <c r="K6" s="52"/>
      <c r="L6" s="52"/>
    </row>
    <row r="7" spans="1:12" x14ac:dyDescent="0.25">
      <c r="A7" s="54"/>
      <c r="B7" s="15" t="s">
        <v>1</v>
      </c>
      <c r="C7" s="16">
        <f>LOOKUP(DATE(YEAR($I$2),MONTH($I$2),1),טבלה1[חודש],טבלה1[תכנון לחודש])</f>
        <v>5.9999999999999942E-2</v>
      </c>
      <c r="D7" s="16"/>
      <c r="E7" s="15" t="s">
        <v>1</v>
      </c>
      <c r="F7" s="16">
        <f>LOOKUP(DATE(YEAR($I$2),MONTH($I$2),1),טבלה1[חודש],טבלה1[תכנון מצטבר])</f>
        <v>0.95</v>
      </c>
      <c r="G7" s="9"/>
      <c r="H7" s="17" t="s">
        <v>16</v>
      </c>
      <c r="I7" s="18">
        <f>LOOKUP(DATE(YEAR($I$2),MONTH($I$2),1),טבלה1[חודש],טבלה1[בפועל מצטבר])</f>
        <v>0.92</v>
      </c>
      <c r="J7" s="9"/>
      <c r="K7" s="9"/>
    </row>
    <row r="8" spans="1:12" x14ac:dyDescent="0.25">
      <c r="A8" s="54"/>
      <c r="B8" s="15" t="s">
        <v>2</v>
      </c>
      <c r="C8" s="16">
        <f>LOOKUP(DATE(YEAR($I$2),MONTH($I$2),1),טבלה1[חודש],טבלה1[בפועל לחודש])</f>
        <v>6.0000000000000053E-2</v>
      </c>
      <c r="D8" s="16"/>
      <c r="E8" s="15" t="s">
        <v>2</v>
      </c>
      <c r="F8" s="16">
        <f>LOOKUP(DATE(YEAR($I$2),MONTH($I$2),1),טבלה1[חודש],טבלה1[בפועל מצטבר])</f>
        <v>0.92</v>
      </c>
      <c r="G8" s="9"/>
      <c r="H8" s="17" t="str">
        <f>"תכנון % ביצוע פרויקט לתאריך " &amp; TEXT(I2,"DD/MM/YYYY")</f>
        <v>תכנון % ביצוע פרויקט לתאריך 04/05/2023</v>
      </c>
      <c r="I8" s="18">
        <f>LOOKUP(DATE(YEAR($I$2),MONTH($I$2),1),טבלה1[חודש],טבלה1[תכנון מצטבר])</f>
        <v>0.95</v>
      </c>
      <c r="J8" s="9"/>
      <c r="K8" s="20"/>
    </row>
    <row r="9" spans="1:12" x14ac:dyDescent="0.25">
      <c r="A9" s="54"/>
      <c r="B9" s="15" t="s">
        <v>3</v>
      </c>
      <c r="C9" s="16">
        <f>C8/C7</f>
        <v>1.0000000000000018</v>
      </c>
      <c r="D9" s="16"/>
      <c r="E9" s="15" t="s">
        <v>3</v>
      </c>
      <c r="F9" s="16">
        <f>F8/F7</f>
        <v>0.96842105263157907</v>
      </c>
      <c r="G9" s="9"/>
      <c r="H9" s="17" t="s">
        <v>18</v>
      </c>
      <c r="I9" s="18">
        <f>I7/I8</f>
        <v>0.96842105263157907</v>
      </c>
      <c r="J9" s="9"/>
      <c r="K9" s="20"/>
    </row>
    <row r="10" spans="1:12" x14ac:dyDescent="0.25">
      <c r="G10" s="9"/>
      <c r="H10" s="17" t="s">
        <v>19</v>
      </c>
      <c r="I10" s="18">
        <f>LOOKUP(DATE(YEAR($I$2),MONTH($I$2),1),טבלה1[חודש],טבלה1[בפועל לחודש])</f>
        <v>6.0000000000000053E-2</v>
      </c>
      <c r="J10" s="9"/>
      <c r="K10" s="20"/>
    </row>
    <row r="11" spans="1:12" ht="14.4" customHeight="1" x14ac:dyDescent="0.25">
      <c r="A11" s="54" t="s">
        <v>5</v>
      </c>
      <c r="B11" s="56" t="s">
        <v>6</v>
      </c>
      <c r="C11" s="56"/>
      <c r="D11" s="13"/>
      <c r="E11" s="56" t="s">
        <v>7</v>
      </c>
      <c r="F11" s="56"/>
      <c r="G11" s="9"/>
      <c r="H11" s="17" t="s">
        <v>20</v>
      </c>
      <c r="I11" s="9" t="str">
        <f>(YEAR(F12)-YEAR($C$4))*12+MONTH(F12)-MONTH($C$4) &amp; "חודשים"</f>
        <v>15חודשים</v>
      </c>
      <c r="J11" s="9"/>
      <c r="K11" s="20"/>
    </row>
    <row r="12" spans="1:12" x14ac:dyDescent="0.25">
      <c r="A12" s="54"/>
      <c r="B12" s="15" t="s">
        <v>8</v>
      </c>
      <c r="C12" s="19">
        <f>LOOKUP($I$4,טבלה1[חודש],טבלה1[חודש סיום צפוי])</f>
        <v>45097</v>
      </c>
      <c r="D12" s="16"/>
      <c r="E12" s="15" t="s">
        <v>24</v>
      </c>
      <c r="F12" s="19">
        <f>'תכנון מול ביצוע נתונים '!F2</f>
        <v>44996</v>
      </c>
      <c r="G12" s="9"/>
      <c r="H12" s="17" t="s">
        <v>21</v>
      </c>
      <c r="I12" s="9" t="str">
        <f>(YEAR(F13)-YEAR($C$4))*12+MONTH(F13)-MONTH($C$4) &amp; "חודשים"</f>
        <v>18חודשים</v>
      </c>
      <c r="J12" s="9"/>
      <c r="K12" s="20"/>
    </row>
    <row r="13" spans="1:12" x14ac:dyDescent="0.25">
      <c r="A13" s="54"/>
      <c r="B13" s="15" t="s">
        <v>9</v>
      </c>
      <c r="C13" s="19">
        <f>LOOKUP(DATE(YEAR($I$2),MONTH($I$2),1),טבלה1[חודש],טבלה1[חודש סיום צפוי])</f>
        <v>45105</v>
      </c>
      <c r="D13" s="16"/>
      <c r="E13" s="15" t="s">
        <v>9</v>
      </c>
      <c r="F13" s="19">
        <f>LOOKUP(DATE(YEAR($I$2),MONTH($I$2),1),טבלה1[חודש],טבלה1[חודש סיום צפוי])</f>
        <v>45105</v>
      </c>
      <c r="G13" s="9"/>
      <c r="H13" s="17" t="s">
        <v>22</v>
      </c>
      <c r="I13" s="20">
        <f>F13</f>
        <v>45105</v>
      </c>
      <c r="J13" s="9"/>
      <c r="K13" s="20"/>
    </row>
    <row r="14" spans="1:12" x14ac:dyDescent="0.25">
      <c r="A14" s="54"/>
      <c r="B14" s="15" t="s">
        <v>11</v>
      </c>
      <c r="C14" s="21">
        <f>C12-C13</f>
        <v>-8</v>
      </c>
      <c r="D14" s="16"/>
      <c r="E14" s="15" t="s">
        <v>11</v>
      </c>
      <c r="F14" s="22">
        <f>F12-F13</f>
        <v>-109</v>
      </c>
      <c r="G14" s="9"/>
      <c r="H14" s="17" t="s">
        <v>23</v>
      </c>
      <c r="I14" s="31">
        <f>F14</f>
        <v>-109</v>
      </c>
      <c r="J14" s="9"/>
      <c r="K14" s="20"/>
    </row>
    <row r="15" spans="1:12" x14ac:dyDescent="0.25">
      <c r="A15" s="54"/>
      <c r="B15" s="15" t="s">
        <v>10</v>
      </c>
      <c r="C15" s="23">
        <f>IF(C14&lt;0, -C14/(C12-$C$4), 0)</f>
        <v>1.4134275618374558E-2</v>
      </c>
      <c r="E15" s="15" t="s">
        <v>10</v>
      </c>
      <c r="F15" s="23">
        <f>IF(F14&lt;0, -F14/(F12-$C$4), 0)</f>
        <v>0.23440860215053763</v>
      </c>
      <c r="G15" s="9"/>
      <c r="H15" s="9"/>
      <c r="I15" s="9"/>
      <c r="J15" s="9"/>
      <c r="K15" s="20"/>
    </row>
    <row r="16" spans="1:12" x14ac:dyDescent="0.25">
      <c r="G16" s="9"/>
      <c r="H16" s="9"/>
      <c r="I16" s="9"/>
      <c r="J16" s="9"/>
      <c r="K16" s="20"/>
    </row>
    <row r="17" spans="7:11" x14ac:dyDescent="0.25">
      <c r="G17" s="9"/>
      <c r="H17" s="9"/>
      <c r="I17" s="9"/>
      <c r="J17" s="9"/>
      <c r="K17" s="20"/>
    </row>
    <row r="18" spans="7:11" x14ac:dyDescent="0.25">
      <c r="G18" s="9"/>
      <c r="H18" s="9"/>
      <c r="I18" s="9"/>
      <c r="J18" s="9"/>
      <c r="K18" s="20"/>
    </row>
    <row r="19" spans="7:11" x14ac:dyDescent="0.25">
      <c r="G19" s="9"/>
      <c r="H19" s="9"/>
      <c r="I19" s="9"/>
      <c r="J19" s="9"/>
      <c r="K19" s="20"/>
    </row>
    <row r="20" spans="7:11" x14ac:dyDescent="0.25">
      <c r="G20" s="9"/>
      <c r="H20" s="9"/>
      <c r="I20" s="9"/>
      <c r="J20" s="9"/>
      <c r="K20" s="20"/>
    </row>
    <row r="21" spans="7:11" x14ac:dyDescent="0.25">
      <c r="G21" s="9"/>
      <c r="H21" s="9"/>
      <c r="I21" s="9"/>
      <c r="J21" s="9"/>
      <c r="K21" s="20"/>
    </row>
    <row r="22" spans="7:11" x14ac:dyDescent="0.25">
      <c r="G22" s="9"/>
      <c r="H22" s="9"/>
      <c r="I22" s="9"/>
      <c r="J22" s="9"/>
      <c r="K22" s="20"/>
    </row>
    <row r="23" spans="7:11" x14ac:dyDescent="0.25">
      <c r="G23" s="9"/>
      <c r="H23" s="9"/>
      <c r="I23" s="9"/>
      <c r="J23" s="9"/>
      <c r="K23" s="20"/>
    </row>
    <row r="24" spans="7:11" x14ac:dyDescent="0.25">
      <c r="G24" s="9"/>
      <c r="H24" s="9"/>
      <c r="I24" s="9"/>
      <c r="J24" s="9"/>
      <c r="K24" s="20"/>
    </row>
    <row r="25" spans="7:11" x14ac:dyDescent="0.25">
      <c r="G25" s="9"/>
      <c r="H25" s="9"/>
      <c r="I25" s="9"/>
      <c r="J25" s="9"/>
      <c r="K25" s="20"/>
    </row>
    <row r="26" spans="7:11" x14ac:dyDescent="0.25">
      <c r="G26" s="9"/>
      <c r="H26" s="9"/>
      <c r="I26" s="9"/>
      <c r="J26" s="9"/>
      <c r="K26" s="9"/>
    </row>
    <row r="27" spans="7:11" x14ac:dyDescent="0.25">
      <c r="G27" s="9"/>
      <c r="H27" s="9"/>
      <c r="I27" s="9"/>
      <c r="J27" s="9"/>
      <c r="K27" s="9"/>
    </row>
  </sheetData>
  <mergeCells count="9">
    <mergeCell ref="K6:L6"/>
    <mergeCell ref="A2:A4"/>
    <mergeCell ref="A11:A15"/>
    <mergeCell ref="H6:I6"/>
    <mergeCell ref="B6:C6"/>
    <mergeCell ref="E6:F6"/>
    <mergeCell ref="A6:A9"/>
    <mergeCell ref="B11:C11"/>
    <mergeCell ref="E11:F11"/>
  </mergeCells>
  <conditionalFormatting sqref="C2">
    <cfRule type="cellIs" dxfId="30" priority="3" operator="equal">
      <formula>"הסתיים"</formula>
    </cfRule>
    <cfRule type="cellIs" dxfId="29" priority="4" operator="equal">
      <formula>"בפועל"</formula>
    </cfRule>
  </conditionalFormatting>
  <conditionalFormatting sqref="E2">
    <cfRule type="cellIs" dxfId="28" priority="2" operator="lessThan">
      <formula>"TODAY()"</formula>
    </cfRule>
  </conditionalFormatting>
  <dataValidations count="2">
    <dataValidation type="list" allowBlank="1" showInputMessage="1" showErrorMessage="1" sqref="C2" xr:uid="{83C61833-0DBE-4629-834D-B8AD80DD8EF0}">
      <formula1>"בפועל, הסתיים"</formula1>
    </dataValidation>
    <dataValidation type="date" allowBlank="1" showInputMessage="1" showErrorMessage="1" sqref="I2" xr:uid="{1415463A-9E0C-4EB4-A161-160DA834391D}">
      <formula1>C4</formula1>
      <formula2>F2</formula2>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8E7AB-4087-4FD4-B9C0-D7B8D9712012}">
  <sheetPr codeName="Worksheet______2"/>
  <dimension ref="A1:F19"/>
  <sheetViews>
    <sheetView rightToLeft="1" zoomScale="74" workbookViewId="0">
      <selection activeCell="F29" sqref="F29"/>
    </sheetView>
  </sheetViews>
  <sheetFormatPr defaultRowHeight="14.4" x14ac:dyDescent="0.3"/>
  <cols>
    <col min="1" max="1" width="13.88671875" customWidth="1"/>
    <col min="2" max="3" width="8.88671875" style="3"/>
    <col min="6" max="6" width="12.109375" customWidth="1"/>
  </cols>
  <sheetData>
    <row r="1" spans="1:6" ht="30" customHeight="1" x14ac:dyDescent="0.3">
      <c r="A1" s="24" t="s">
        <v>25</v>
      </c>
      <c r="B1" s="25" t="s">
        <v>26</v>
      </c>
      <c r="C1" s="25" t="s">
        <v>27</v>
      </c>
      <c r="D1" s="26" t="s">
        <v>28</v>
      </c>
      <c r="E1" s="26" t="s">
        <v>29</v>
      </c>
      <c r="F1" s="24" t="s">
        <v>30</v>
      </c>
    </row>
    <row r="2" spans="1:6" x14ac:dyDescent="0.3">
      <c r="A2" s="1">
        <f>'טבלאות סיכום '!C4</f>
        <v>44531</v>
      </c>
      <c r="B2" s="3">
        <f>3%</f>
        <v>0.03</v>
      </c>
      <c r="C2" s="3">
        <v>0.03</v>
      </c>
      <c r="D2" s="2">
        <f>(טבלה1[[#This Row],[תכנון מצטבר]]-0)</f>
        <v>0.03</v>
      </c>
      <c r="E2" s="2">
        <f>(טבלה1[[#This Row],[בפועל מצטבר]]-0)</f>
        <v>0.03</v>
      </c>
      <c r="F2" s="19">
        <v>44996</v>
      </c>
    </row>
    <row r="3" spans="1:6" x14ac:dyDescent="0.3">
      <c r="A3" s="1">
        <v>44562</v>
      </c>
      <c r="B3" s="3">
        <v>0.04</v>
      </c>
      <c r="C3" s="3">
        <v>0.04</v>
      </c>
      <c r="D3" s="2">
        <f>(טבלה1[[#This Row],[תכנון מצטבר]]-B2)</f>
        <v>1.0000000000000002E-2</v>
      </c>
      <c r="E3" s="2">
        <f>טבלה1[[#This Row],[בפועל מצטבר]]-C2</f>
        <v>1.0000000000000002E-2</v>
      </c>
      <c r="F3" s="19">
        <v>45000</v>
      </c>
    </row>
    <row r="4" spans="1:6" x14ac:dyDescent="0.3">
      <c r="A4" s="1">
        <v>44593</v>
      </c>
      <c r="B4" s="3">
        <v>0.05</v>
      </c>
      <c r="C4" s="3">
        <v>0.04</v>
      </c>
      <c r="D4" s="2">
        <f>(טבלה1[[#This Row],[תכנון מצטבר]]-B3)</f>
        <v>1.0000000000000002E-2</v>
      </c>
      <c r="E4" s="2">
        <f>טבלה1[[#This Row],[בפועל מצטבר]]-C3</f>
        <v>0</v>
      </c>
      <c r="F4" s="19">
        <v>45003</v>
      </c>
    </row>
    <row r="5" spans="1:6" x14ac:dyDescent="0.3">
      <c r="A5" s="1">
        <v>44621</v>
      </c>
      <c r="B5" s="3">
        <v>0.06</v>
      </c>
      <c r="C5" s="3">
        <v>0.05</v>
      </c>
      <c r="D5" s="2">
        <f>(טבלה1[[#This Row],[תכנון מצטבר]]-B4)</f>
        <v>9.999999999999995E-3</v>
      </c>
      <c r="E5" s="2">
        <f>טבלה1[[#This Row],[בפועל מצטבר]]-C4</f>
        <v>1.0000000000000002E-2</v>
      </c>
      <c r="F5" s="19">
        <v>45015</v>
      </c>
    </row>
    <row r="6" spans="1:6" x14ac:dyDescent="0.3">
      <c r="A6" s="1">
        <v>44652</v>
      </c>
      <c r="B6" s="3">
        <v>0.08</v>
      </c>
      <c r="C6" s="3">
        <v>7.0000000000000007E-2</v>
      </c>
      <c r="D6" s="2">
        <f>(טבלה1[[#This Row],[תכנון מצטבר]]-B5)</f>
        <v>2.0000000000000004E-2</v>
      </c>
      <c r="E6" s="2">
        <f>טבלה1[[#This Row],[בפועל מצטבר]]-C5</f>
        <v>2.0000000000000004E-2</v>
      </c>
      <c r="F6" s="19">
        <v>45020</v>
      </c>
    </row>
    <row r="7" spans="1:6" x14ac:dyDescent="0.3">
      <c r="A7" s="1">
        <v>44682</v>
      </c>
      <c r="B7" s="3">
        <v>0.15</v>
      </c>
      <c r="C7" s="3">
        <v>0.13</v>
      </c>
      <c r="D7" s="2">
        <f>(טבלה1[[#This Row],[תכנון מצטבר]]-B6)</f>
        <v>6.9999999999999993E-2</v>
      </c>
      <c r="E7" s="2">
        <f>טבלה1[[#This Row],[בפועל מצטבר]]-C6</f>
        <v>0.06</v>
      </c>
      <c r="F7" s="19">
        <v>45026</v>
      </c>
    </row>
    <row r="8" spans="1:6" x14ac:dyDescent="0.3">
      <c r="A8" s="1">
        <v>44713</v>
      </c>
      <c r="B8" s="3">
        <v>0.2</v>
      </c>
      <c r="C8" s="3">
        <v>0.19</v>
      </c>
      <c r="D8" s="2">
        <f>(טבלה1[[#This Row],[תכנון מצטבר]]-B7)</f>
        <v>5.0000000000000017E-2</v>
      </c>
      <c r="E8" s="2">
        <f>טבלה1[[#This Row],[בפועל מצטבר]]-C7</f>
        <v>0.06</v>
      </c>
      <c r="F8" s="19">
        <v>45026</v>
      </c>
    </row>
    <row r="9" spans="1:6" x14ac:dyDescent="0.3">
      <c r="A9" s="1">
        <v>44743</v>
      </c>
      <c r="B9" s="3">
        <v>0.25</v>
      </c>
      <c r="C9" s="3">
        <v>0.24</v>
      </c>
      <c r="D9" s="2">
        <f>(טבלה1[[#This Row],[תכנון מצטבר]]-B8)</f>
        <v>4.9999999999999989E-2</v>
      </c>
      <c r="E9" s="2">
        <f>טבלה1[[#This Row],[בפועל מצטבר]]-C8</f>
        <v>4.9999999999999989E-2</v>
      </c>
      <c r="F9" s="19">
        <v>45031</v>
      </c>
    </row>
    <row r="10" spans="1:6" x14ac:dyDescent="0.3">
      <c r="A10" s="1">
        <v>44774</v>
      </c>
      <c r="B10" s="3">
        <v>0.35</v>
      </c>
      <c r="C10" s="3">
        <v>0.28999999999999998</v>
      </c>
      <c r="D10" s="2">
        <f>(טבלה1[[#This Row],[תכנון מצטבר]]-B9)</f>
        <v>9.9999999999999978E-2</v>
      </c>
      <c r="E10" s="2">
        <f>טבלה1[[#This Row],[בפועל מצטבר]]-C9</f>
        <v>4.9999999999999989E-2</v>
      </c>
      <c r="F10" s="19">
        <v>45032</v>
      </c>
    </row>
    <row r="11" spans="1:6" x14ac:dyDescent="0.3">
      <c r="A11" s="1">
        <v>44805</v>
      </c>
      <c r="B11" s="3">
        <v>0.4</v>
      </c>
      <c r="C11" s="3">
        <v>0.36</v>
      </c>
      <c r="D11" s="2">
        <f>(טבלה1[[#This Row],[תכנון מצטבר]]-B10)</f>
        <v>5.0000000000000044E-2</v>
      </c>
      <c r="E11" s="2">
        <f>טבלה1[[#This Row],[בפועל מצטבר]]-C10</f>
        <v>7.0000000000000007E-2</v>
      </c>
      <c r="F11" s="19">
        <v>45034</v>
      </c>
    </row>
    <row r="12" spans="1:6" x14ac:dyDescent="0.3">
      <c r="A12" s="1">
        <v>44835</v>
      </c>
      <c r="B12" s="3">
        <v>0.46</v>
      </c>
      <c r="C12" s="3">
        <v>0.42</v>
      </c>
      <c r="D12" s="2">
        <f>(טבלה1[[#This Row],[תכנון מצטבר]]-B11)</f>
        <v>0.06</v>
      </c>
      <c r="E12" s="2">
        <f>טבלה1[[#This Row],[בפועל מצטבר]]-C11</f>
        <v>0.06</v>
      </c>
      <c r="F12" s="19">
        <v>45036</v>
      </c>
    </row>
    <row r="13" spans="1:6" x14ac:dyDescent="0.3">
      <c r="A13" s="1">
        <v>44866</v>
      </c>
      <c r="B13" s="3">
        <v>0.57999999999999996</v>
      </c>
      <c r="C13" s="3">
        <v>0.54</v>
      </c>
      <c r="D13" s="2">
        <f>(טבלה1[[#This Row],[תכנון מצטבר]]-B12)</f>
        <v>0.11999999999999994</v>
      </c>
      <c r="E13" s="2">
        <f>טבלה1[[#This Row],[בפועל מצטבר]]-C12</f>
        <v>0.12000000000000005</v>
      </c>
      <c r="F13" s="19">
        <v>45041</v>
      </c>
    </row>
    <row r="14" spans="1:6" x14ac:dyDescent="0.3">
      <c r="A14" s="1">
        <v>44896</v>
      </c>
      <c r="B14" s="3">
        <v>0.62</v>
      </c>
      <c r="C14" s="3">
        <v>0.57999999999999996</v>
      </c>
      <c r="D14" s="2">
        <f>(טבלה1[[#This Row],[תכנון מצטבר]]-B13)</f>
        <v>4.0000000000000036E-2</v>
      </c>
      <c r="E14" s="2">
        <f>טבלה1[[#This Row],[בפועל מצטבר]]-C13</f>
        <v>3.9999999999999925E-2</v>
      </c>
      <c r="F14" s="19">
        <v>45047</v>
      </c>
    </row>
    <row r="15" spans="1:6" x14ac:dyDescent="0.3">
      <c r="A15" s="1">
        <v>44927</v>
      </c>
      <c r="B15" s="3">
        <v>0.69</v>
      </c>
      <c r="C15" s="3">
        <v>0.65</v>
      </c>
      <c r="D15" s="2">
        <f>(טבלה1[[#This Row],[תכנון מצטבר]]-B14)</f>
        <v>6.9999999999999951E-2</v>
      </c>
      <c r="E15" s="2">
        <f>טבלה1[[#This Row],[בפועל מצטבר]]-C14</f>
        <v>7.0000000000000062E-2</v>
      </c>
      <c r="F15" s="19">
        <v>45061</v>
      </c>
    </row>
    <row r="16" spans="1:6" x14ac:dyDescent="0.3">
      <c r="A16" s="1">
        <v>44958</v>
      </c>
      <c r="B16" s="3">
        <v>0.7</v>
      </c>
      <c r="C16" s="3">
        <v>0.66</v>
      </c>
      <c r="D16" s="2">
        <f>(טבלה1[[#This Row],[תכנון מצטבר]]-B15)</f>
        <v>1.0000000000000009E-2</v>
      </c>
      <c r="E16" s="2">
        <f>טבלה1[[#This Row],[בפועל מצטבר]]-C15</f>
        <v>1.0000000000000009E-2</v>
      </c>
      <c r="F16" s="19">
        <v>45066</v>
      </c>
    </row>
    <row r="17" spans="1:6" x14ac:dyDescent="0.3">
      <c r="A17" s="1">
        <v>44986</v>
      </c>
      <c r="B17" s="3">
        <v>0.8</v>
      </c>
      <c r="C17" s="3">
        <v>0.77</v>
      </c>
      <c r="D17" s="2">
        <f>(טבלה1[[#This Row],[תכנון מצטבר]]-B16)</f>
        <v>0.10000000000000009</v>
      </c>
      <c r="E17" s="2">
        <f>טבלה1[[#This Row],[בפועל מצטבר]]-C16</f>
        <v>0.10999999999999999</v>
      </c>
      <c r="F17" s="19">
        <v>45093</v>
      </c>
    </row>
    <row r="18" spans="1:6" x14ac:dyDescent="0.3">
      <c r="A18" s="1">
        <v>45017</v>
      </c>
      <c r="B18" s="3">
        <v>0.89</v>
      </c>
      <c r="C18" s="3">
        <v>0.86</v>
      </c>
      <c r="D18" s="2">
        <f>(טבלה1[[#This Row],[תכנון מצטבר]]-B17)</f>
        <v>8.9999999999999969E-2</v>
      </c>
      <c r="E18" s="2">
        <f>טבלה1[[#This Row],[בפועל מצטבר]]-C17</f>
        <v>8.9999999999999969E-2</v>
      </c>
      <c r="F18" s="19">
        <v>45097</v>
      </c>
    </row>
    <row r="19" spans="1:6" x14ac:dyDescent="0.3">
      <c r="A19" s="1">
        <v>45047</v>
      </c>
      <c r="B19" s="3">
        <v>0.95</v>
      </c>
      <c r="C19" s="3">
        <v>0.92</v>
      </c>
      <c r="D19" s="2">
        <f>(טבלה1[[#This Row],[תכנון מצטבר]]-B18)</f>
        <v>5.9999999999999942E-2</v>
      </c>
      <c r="E19" s="2">
        <f>טבלה1[[#This Row],[בפועל מצטבר]]-C18</f>
        <v>6.0000000000000053E-2</v>
      </c>
      <c r="F19" s="19">
        <v>45105</v>
      </c>
    </row>
  </sheetData>
  <pageMargins left="0.7" right="0.7" top="0.75" bottom="0.75" header="0.3" footer="0.3"/>
  <drawing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2DAC9-97EA-466F-8ECA-FE902A6EC5F5}">
  <dimension ref="A1:J22"/>
  <sheetViews>
    <sheetView rightToLeft="1" zoomScale="75" workbookViewId="0">
      <selection activeCell="E27" sqref="E27"/>
    </sheetView>
  </sheetViews>
  <sheetFormatPr defaultColWidth="20.109375" defaultRowHeight="16.2" customHeight="1" x14ac:dyDescent="0.3"/>
  <cols>
    <col min="1" max="1" width="20.109375" style="33"/>
    <col min="2" max="2" width="23" style="33" customWidth="1"/>
    <col min="3" max="3" width="29.33203125" style="33" customWidth="1"/>
    <col min="4" max="4" width="20.109375" style="33"/>
    <col min="5" max="5" width="20.109375" style="36"/>
    <col min="6" max="16384" width="20.109375" style="33"/>
  </cols>
  <sheetData>
    <row r="1" spans="1:10" ht="16.2" customHeight="1" thickBot="1" x14ac:dyDescent="0.35">
      <c r="B1" s="34" t="s">
        <v>46</v>
      </c>
      <c r="C1" s="34" t="s">
        <v>47</v>
      </c>
      <c r="D1" s="34" t="s">
        <v>48</v>
      </c>
      <c r="E1" s="35" t="s">
        <v>49</v>
      </c>
      <c r="F1" s="34" t="s">
        <v>50</v>
      </c>
      <c r="G1" s="34" t="s">
        <v>51</v>
      </c>
      <c r="H1" s="34" t="s">
        <v>52</v>
      </c>
      <c r="I1" s="34" t="s">
        <v>53</v>
      </c>
      <c r="J1" s="34" t="s">
        <v>54</v>
      </c>
    </row>
    <row r="2" spans="1:10" ht="16.2" customHeight="1" x14ac:dyDescent="0.3">
      <c r="A2" s="57" t="s">
        <v>55</v>
      </c>
      <c r="C2" s="33" t="s">
        <v>56</v>
      </c>
      <c r="D2" s="33">
        <v>778</v>
      </c>
      <c r="G2" s="37"/>
      <c r="I2" s="38"/>
      <c r="J2" s="36">
        <f>Table2[[#This Row],[ציון]]*Table2[[#This Row],[משקל]]</f>
        <v>0</v>
      </c>
    </row>
    <row r="3" spans="1:10" ht="16.2" customHeight="1" x14ac:dyDescent="0.3">
      <c r="A3" s="57"/>
      <c r="B3" s="33" t="s">
        <v>57</v>
      </c>
      <c r="C3" s="33" t="s">
        <v>58</v>
      </c>
      <c r="D3" s="33">
        <v>289</v>
      </c>
      <c r="E3" s="36">
        <f>D3/$D$2</f>
        <v>0.37146529562982006</v>
      </c>
      <c r="F3" s="37">
        <v>0.15</v>
      </c>
      <c r="G3" s="37">
        <f>Table2[[#This Row],[גבול]]-Table2[[#This Row],[אחוזים]]</f>
        <v>-0.22146529562982006</v>
      </c>
      <c r="H3" s="39">
        <f>1/COUNTIF($B$3:$B$21, "V")</f>
        <v>5.8823529411764705E-2</v>
      </c>
      <c r="I3" s="38"/>
      <c r="J3" s="36">
        <f>Table2[[#This Row],[ציון]]*Table2[[#This Row],[משקל]]</f>
        <v>0</v>
      </c>
    </row>
    <row r="4" spans="1:10" ht="16.2" customHeight="1" x14ac:dyDescent="0.3">
      <c r="A4" s="57"/>
      <c r="B4" s="33" t="s">
        <v>59</v>
      </c>
      <c r="C4" s="33" t="s">
        <v>60</v>
      </c>
      <c r="D4" s="33">
        <v>0</v>
      </c>
      <c r="E4" s="36">
        <f>D4/D2</f>
        <v>0</v>
      </c>
      <c r="F4" s="37">
        <v>0</v>
      </c>
      <c r="G4" s="37">
        <f>Table2[[#This Row],[גבול]]-Table2[[#This Row],[אחוזים]]</f>
        <v>0</v>
      </c>
      <c r="H4" s="39">
        <f t="shared" ref="H4:H21" si="0">1/COUNTIF($B$3:$B$21, "V")</f>
        <v>5.8823529411764705E-2</v>
      </c>
      <c r="I4" s="38"/>
      <c r="J4" s="36">
        <f>Table2[[#This Row],[ציון]]*Table2[[#This Row],[משקל]]</f>
        <v>0</v>
      </c>
    </row>
    <row r="5" spans="1:10" ht="16.2" customHeight="1" x14ac:dyDescent="0.3">
      <c r="A5" s="57"/>
      <c r="B5" s="33" t="s">
        <v>59</v>
      </c>
      <c r="C5" s="33" t="s">
        <v>61</v>
      </c>
      <c r="D5" s="33">
        <v>0</v>
      </c>
      <c r="E5" s="36">
        <f>D5/D2</f>
        <v>0</v>
      </c>
      <c r="F5" s="37">
        <v>0</v>
      </c>
      <c r="G5" s="37">
        <f>Table2[[#This Row],[גבול]]-Table2[[#This Row],[אחוזים]]</f>
        <v>0</v>
      </c>
      <c r="H5" s="39">
        <f t="shared" si="0"/>
        <v>5.8823529411764705E-2</v>
      </c>
      <c r="I5" s="38"/>
      <c r="J5" s="36">
        <f>Table2[[#This Row],[ציון]]*Table2[[#This Row],[משקל]]</f>
        <v>0</v>
      </c>
    </row>
    <row r="6" spans="1:10" ht="16.2" customHeight="1" thickBot="1" x14ac:dyDescent="0.35">
      <c r="A6" s="58"/>
      <c r="B6" s="40" t="s">
        <v>57</v>
      </c>
      <c r="C6" s="40" t="s">
        <v>62</v>
      </c>
      <c r="D6" s="40">
        <v>402</v>
      </c>
      <c r="E6" s="41">
        <f>D6/D2</f>
        <v>0.51670951156812339</v>
      </c>
      <c r="F6" s="42">
        <v>0.1</v>
      </c>
      <c r="G6" s="42">
        <f>Table2[[#This Row],[גבול]]-Table2[[#This Row],[אחוזים]]</f>
        <v>-0.41670951156812341</v>
      </c>
      <c r="H6" s="43">
        <f t="shared" si="0"/>
        <v>5.8823529411764705E-2</v>
      </c>
      <c r="I6" s="44"/>
      <c r="J6" s="41">
        <f>Table2[[#This Row],[ציון]]*Table2[[#This Row],[משקל]]</f>
        <v>0</v>
      </c>
    </row>
    <row r="7" spans="1:10" ht="16.2" customHeight="1" x14ac:dyDescent="0.3">
      <c r="A7" s="59" t="s">
        <v>63</v>
      </c>
      <c r="B7" s="45" t="s">
        <v>59</v>
      </c>
      <c r="C7" s="33" t="s">
        <v>64</v>
      </c>
      <c r="D7" s="33">
        <v>9</v>
      </c>
      <c r="E7" s="36">
        <f>D7/D2</f>
        <v>1.1568123393316195E-2</v>
      </c>
      <c r="F7" s="37">
        <v>0.05</v>
      </c>
      <c r="G7" s="37">
        <f>Table2[[#This Row],[גבול]]-Table2[[#This Row],[אחוזים]]</f>
        <v>3.8431876606683804E-2</v>
      </c>
      <c r="H7" s="39">
        <f t="shared" si="0"/>
        <v>5.8823529411764705E-2</v>
      </c>
      <c r="I7" s="38"/>
      <c r="J7" s="36">
        <f>Table2[[#This Row],[ציון]]*Table2[[#This Row],[משקל]]</f>
        <v>0</v>
      </c>
    </row>
    <row r="8" spans="1:10" ht="16.2" customHeight="1" x14ac:dyDescent="0.3">
      <c r="A8" s="57"/>
      <c r="B8" s="33" t="s">
        <v>59</v>
      </c>
      <c r="C8" s="33" t="s">
        <v>65</v>
      </c>
      <c r="D8" s="33">
        <v>0</v>
      </c>
      <c r="E8" s="36">
        <f t="shared" ref="E8:E21" si="1">D8/$D$2</f>
        <v>0</v>
      </c>
      <c r="F8" s="37">
        <v>0.05</v>
      </c>
      <c r="G8" s="37">
        <f>Table2[[#This Row],[גבול]]-Table2[[#This Row],[אחוזים]]</f>
        <v>0.05</v>
      </c>
      <c r="H8" s="39">
        <f t="shared" si="0"/>
        <v>5.8823529411764705E-2</v>
      </c>
      <c r="I8" s="38"/>
      <c r="J8" s="36">
        <f>Table2[[#This Row],[ציון]]*Table2[[#This Row],[משקל]]</f>
        <v>0</v>
      </c>
    </row>
    <row r="9" spans="1:10" ht="16.2" customHeight="1" thickBot="1" x14ac:dyDescent="0.35">
      <c r="A9" s="58"/>
      <c r="B9" s="33" t="s">
        <v>59</v>
      </c>
      <c r="C9" s="40" t="s">
        <v>66</v>
      </c>
      <c r="D9" s="40">
        <v>0</v>
      </c>
      <c r="E9" s="41">
        <f t="shared" si="1"/>
        <v>0</v>
      </c>
      <c r="F9" s="42">
        <v>0</v>
      </c>
      <c r="G9" s="42">
        <f>Table2[[#This Row],[גבול]]-Table2[[#This Row],[אחוזים]]</f>
        <v>0</v>
      </c>
      <c r="H9" s="43">
        <f t="shared" si="0"/>
        <v>5.8823529411764705E-2</v>
      </c>
      <c r="I9" s="44"/>
      <c r="J9" s="41">
        <f>Table2[[#This Row],[ציון]]*Table2[[#This Row],[משקל]]</f>
        <v>0</v>
      </c>
    </row>
    <row r="10" spans="1:10" ht="16.2" customHeight="1" x14ac:dyDescent="0.3">
      <c r="A10" s="59" t="s">
        <v>67</v>
      </c>
      <c r="B10" s="45" t="s">
        <v>59</v>
      </c>
      <c r="C10" s="33" t="s">
        <v>68</v>
      </c>
      <c r="D10" s="33">
        <v>0</v>
      </c>
      <c r="E10" s="36">
        <f t="shared" si="1"/>
        <v>0</v>
      </c>
      <c r="F10" s="37">
        <v>0.1</v>
      </c>
      <c r="G10" s="37">
        <f>Table2[[#This Row],[גבול]]-Table2[[#This Row],[אחוזים]]</f>
        <v>0.1</v>
      </c>
      <c r="H10" s="39">
        <f t="shared" si="0"/>
        <v>5.8823529411764705E-2</v>
      </c>
      <c r="I10" s="38"/>
      <c r="J10" s="36">
        <f>Table2[[#This Row],[ציון]]*Table2[[#This Row],[משקל]]</f>
        <v>0</v>
      </c>
    </row>
    <row r="11" spans="1:10" ht="16.2" customHeight="1" x14ac:dyDescent="0.3">
      <c r="A11" s="57"/>
      <c r="B11" s="33" t="s">
        <v>59</v>
      </c>
      <c r="C11" s="33" t="s">
        <v>69</v>
      </c>
      <c r="D11" s="33">
        <v>22</v>
      </c>
      <c r="E11" s="36">
        <f t="shared" si="1"/>
        <v>2.8277634961439587E-2</v>
      </c>
      <c r="F11" s="37">
        <v>0.2</v>
      </c>
      <c r="G11" s="37">
        <f>Table2[[#This Row],[גבול]]-Table2[[#This Row],[אחוזים]]</f>
        <v>0.17172236503856042</v>
      </c>
      <c r="H11" s="39">
        <f t="shared" si="0"/>
        <v>5.8823529411764705E-2</v>
      </c>
      <c r="I11" s="38"/>
      <c r="J11" s="36">
        <f>Table2[[#This Row],[ציון]]*Table2[[#This Row],[משקל]]</f>
        <v>0</v>
      </c>
    </row>
    <row r="12" spans="1:10" ht="16.2" customHeight="1" x14ac:dyDescent="0.3">
      <c r="A12" s="57"/>
      <c r="B12" s="33" t="s">
        <v>59</v>
      </c>
      <c r="C12" s="33" t="s">
        <v>70</v>
      </c>
      <c r="D12" s="33">
        <v>246</v>
      </c>
      <c r="E12" s="36">
        <f t="shared" si="1"/>
        <v>0.31619537275064269</v>
      </c>
      <c r="F12" s="37">
        <v>0.2</v>
      </c>
      <c r="G12" s="37">
        <f>Table2[[#This Row],[גבול]]-Table2[[#This Row],[אחוזים]]</f>
        <v>-0.11619537275064268</v>
      </c>
      <c r="H12" s="39">
        <f t="shared" si="0"/>
        <v>5.8823529411764705E-2</v>
      </c>
      <c r="I12" s="38"/>
      <c r="J12" s="36">
        <f>Table2[[#This Row],[ציון]]*Table2[[#This Row],[משקל]]</f>
        <v>0</v>
      </c>
    </row>
    <row r="13" spans="1:10" ht="16.2" customHeight="1" x14ac:dyDescent="0.3">
      <c r="A13" s="57"/>
      <c r="B13" s="33" t="s">
        <v>59</v>
      </c>
      <c r="C13" s="33" t="s">
        <v>71</v>
      </c>
      <c r="D13" s="33">
        <v>224</v>
      </c>
      <c r="E13" s="36">
        <f t="shared" si="1"/>
        <v>0.2879177377892031</v>
      </c>
      <c r="F13" s="37">
        <v>0.1</v>
      </c>
      <c r="G13" s="37">
        <f>Table2[[#This Row],[גבול]]-Table2[[#This Row],[אחוזים]]</f>
        <v>-0.18791773778920309</v>
      </c>
      <c r="H13" s="46">
        <f t="shared" si="0"/>
        <v>5.8823529411764705E-2</v>
      </c>
      <c r="I13" s="38"/>
      <c r="J13" s="47">
        <f>Table2[[#This Row],[ציון]]*Table2[[#This Row],[משקל]]</f>
        <v>0</v>
      </c>
    </row>
    <row r="14" spans="1:10" ht="16.2" customHeight="1" thickBot="1" x14ac:dyDescent="0.35">
      <c r="A14" s="58"/>
      <c r="B14" s="40" t="s">
        <v>59</v>
      </c>
      <c r="C14" s="40" t="s">
        <v>72</v>
      </c>
      <c r="D14" s="40">
        <v>0</v>
      </c>
      <c r="E14" s="41">
        <f t="shared" si="1"/>
        <v>0</v>
      </c>
      <c r="F14" s="42">
        <v>0.05</v>
      </c>
      <c r="G14" s="42">
        <f>Table2[[#This Row],[גבול]]-Table2[[#This Row],[אחוזים]]</f>
        <v>0.05</v>
      </c>
      <c r="H14" s="43">
        <f t="shared" si="0"/>
        <v>5.8823529411764705E-2</v>
      </c>
      <c r="I14" s="44"/>
      <c r="J14" s="41">
        <f>Table2[[#This Row],[ציון]]*Table2[[#This Row],[משקל]]</f>
        <v>0</v>
      </c>
    </row>
    <row r="15" spans="1:10" ht="16.2" customHeight="1" x14ac:dyDescent="0.3">
      <c r="A15" s="59" t="s">
        <v>73</v>
      </c>
      <c r="B15" s="45" t="s">
        <v>59</v>
      </c>
      <c r="C15" s="45" t="s">
        <v>74</v>
      </c>
      <c r="D15" s="45">
        <v>0</v>
      </c>
      <c r="E15" s="36">
        <f t="shared" si="1"/>
        <v>0</v>
      </c>
      <c r="F15" s="48">
        <v>0.1</v>
      </c>
      <c r="G15" s="48">
        <f>Table2[[#This Row],[גבול]]-Table2[[#This Row],[אחוזים]]</f>
        <v>0.1</v>
      </c>
      <c r="H15" s="49">
        <f t="shared" si="0"/>
        <v>5.8823529411764705E-2</v>
      </c>
      <c r="I15" s="50"/>
      <c r="J15" s="51">
        <f>Table2[[#This Row],[ציון]]*Table2[[#This Row],[משקל]]</f>
        <v>0</v>
      </c>
    </row>
    <row r="16" spans="1:10" ht="16.2" customHeight="1" x14ac:dyDescent="0.3">
      <c r="A16" s="57"/>
      <c r="B16" s="33" t="s">
        <v>59</v>
      </c>
      <c r="C16" s="33" t="s">
        <v>75</v>
      </c>
      <c r="D16" s="33">
        <v>28</v>
      </c>
      <c r="E16" s="36">
        <f t="shared" si="1"/>
        <v>3.5989717223650387E-2</v>
      </c>
      <c r="F16" s="37">
        <v>0.1</v>
      </c>
      <c r="G16" s="37">
        <f>Table2[[#This Row],[גבול]]-Table2[[#This Row],[אחוזים]]</f>
        <v>6.4010282776349625E-2</v>
      </c>
      <c r="H16" s="46">
        <f t="shared" si="0"/>
        <v>5.8823529411764705E-2</v>
      </c>
      <c r="I16" s="38"/>
      <c r="J16" s="47">
        <f>Table2[[#This Row],[ציון]]*Table2[[#This Row],[משקל]]</f>
        <v>0</v>
      </c>
    </row>
    <row r="17" spans="1:10" ht="16.2" customHeight="1" x14ac:dyDescent="0.3">
      <c r="A17" s="57"/>
      <c r="B17" s="33" t="s">
        <v>59</v>
      </c>
      <c r="C17" s="33" t="s">
        <v>76</v>
      </c>
      <c r="D17" s="33">
        <v>0</v>
      </c>
      <c r="E17" s="36">
        <f t="shared" si="1"/>
        <v>0</v>
      </c>
      <c r="F17" s="37">
        <v>0.1</v>
      </c>
      <c r="G17" s="37">
        <f>Table2[[#This Row],[גבול]]-Table2[[#This Row],[אחוזים]]</f>
        <v>0.1</v>
      </c>
      <c r="H17" s="46">
        <f t="shared" si="0"/>
        <v>5.8823529411764705E-2</v>
      </c>
      <c r="I17" s="38"/>
      <c r="J17" s="47">
        <f>Table2[[#This Row],[ציון]]*Table2[[#This Row],[משקל]]</f>
        <v>0</v>
      </c>
    </row>
    <row r="18" spans="1:10" ht="16.2" customHeight="1" x14ac:dyDescent="0.3">
      <c r="A18" s="57"/>
      <c r="B18" s="33" t="s">
        <v>59</v>
      </c>
      <c r="C18" s="33" t="s">
        <v>77</v>
      </c>
      <c r="D18" s="33">
        <v>0</v>
      </c>
      <c r="E18" s="36">
        <f t="shared" si="1"/>
        <v>0</v>
      </c>
      <c r="F18" s="37">
        <v>0</v>
      </c>
      <c r="G18" s="37">
        <f>Table2[[#This Row],[גבול]]-Table2[[#This Row],[אחוזים]]</f>
        <v>0</v>
      </c>
      <c r="H18" s="46">
        <f t="shared" si="0"/>
        <v>5.8823529411764705E-2</v>
      </c>
      <c r="I18" s="38"/>
      <c r="J18" s="47">
        <f>Table2[[#This Row],[ציון]]*Table2[[#This Row],[משקל]]</f>
        <v>0</v>
      </c>
    </row>
    <row r="19" spans="1:10" ht="16.2" customHeight="1" x14ac:dyDescent="0.3">
      <c r="A19" s="57"/>
      <c r="B19" s="33" t="s">
        <v>59</v>
      </c>
      <c r="C19" s="33" t="s">
        <v>78</v>
      </c>
      <c r="D19" s="33">
        <v>0</v>
      </c>
      <c r="E19" s="36">
        <f t="shared" si="1"/>
        <v>0</v>
      </c>
      <c r="F19" s="37">
        <v>0</v>
      </c>
      <c r="G19" s="37">
        <f>Table2[[#This Row],[גבול]]-Table2[[#This Row],[אחוזים]]</f>
        <v>0</v>
      </c>
      <c r="H19" s="46">
        <f t="shared" si="0"/>
        <v>5.8823529411764705E-2</v>
      </c>
      <c r="I19" s="38"/>
      <c r="J19" s="47">
        <f>Table2[[#This Row],[ציון]]*Table2[[#This Row],[משקל]]</f>
        <v>0</v>
      </c>
    </row>
    <row r="20" spans="1:10" ht="16.2" customHeight="1" x14ac:dyDescent="0.3">
      <c r="A20" s="57"/>
      <c r="B20" s="33" t="s">
        <v>59</v>
      </c>
      <c r="C20" s="33" t="s">
        <v>79</v>
      </c>
      <c r="D20" s="33">
        <v>0</v>
      </c>
      <c r="E20" s="36">
        <f t="shared" si="1"/>
        <v>0</v>
      </c>
      <c r="F20" s="37">
        <v>0</v>
      </c>
      <c r="G20" s="37">
        <f>Table2[[#This Row],[גבול]]-Table2[[#This Row],[אחוזים]]</f>
        <v>0</v>
      </c>
      <c r="H20" s="46">
        <f t="shared" si="0"/>
        <v>5.8823529411764705E-2</v>
      </c>
      <c r="I20" s="38"/>
      <c r="J20" s="47">
        <f>Table2[[#This Row],[ציון]]*Table2[[#This Row],[משקל]]</f>
        <v>0</v>
      </c>
    </row>
    <row r="21" spans="1:10" ht="16.2" customHeight="1" thickBot="1" x14ac:dyDescent="0.35">
      <c r="A21" s="58"/>
      <c r="B21" s="33" t="s">
        <v>59</v>
      </c>
      <c r="C21" s="33" t="s">
        <v>80</v>
      </c>
      <c r="D21" s="33">
        <v>0</v>
      </c>
      <c r="E21" s="36">
        <f t="shared" si="1"/>
        <v>0</v>
      </c>
      <c r="F21" s="37">
        <v>0</v>
      </c>
      <c r="G21" s="37">
        <f>Table2[[#This Row],[גבול]]-Table2[[#This Row],[אחוזים]]</f>
        <v>0</v>
      </c>
      <c r="H21" s="46">
        <f t="shared" si="0"/>
        <v>5.8823529411764705E-2</v>
      </c>
      <c r="I21" s="38"/>
      <c r="J21" s="47">
        <f>Table2[[#This Row],[ציון]]*Table2[[#This Row],[משקל]]</f>
        <v>0</v>
      </c>
    </row>
    <row r="22" spans="1:10" ht="16.2" customHeight="1" x14ac:dyDescent="0.3">
      <c r="A22" s="33" t="s">
        <v>54</v>
      </c>
      <c r="E22" s="37"/>
      <c r="G22" s="37"/>
      <c r="I22" s="38"/>
      <c r="J22" s="37">
        <f>SUM(J3:J21)</f>
        <v>0</v>
      </c>
    </row>
  </sheetData>
  <mergeCells count="4">
    <mergeCell ref="A2:A6"/>
    <mergeCell ref="A7:A9"/>
    <mergeCell ref="A10:A14"/>
    <mergeCell ref="A15:A2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605A1-8C20-44E7-BD1D-256DA18DCE7C}">
  <sheetPr codeName="Worksheet______11"/>
  <dimension ref="A1:I31"/>
  <sheetViews>
    <sheetView rightToLeft="1" workbookViewId="0">
      <selection activeCell="D4" sqref="D4"/>
    </sheetView>
  </sheetViews>
  <sheetFormatPr defaultRowHeight="14.4" x14ac:dyDescent="0.3"/>
  <cols>
    <col min="1" max="1" width="12.88671875" customWidth="1"/>
    <col min="2" max="2" width="13.33203125" customWidth="1"/>
    <col min="3" max="3" width="12.6640625" customWidth="1"/>
    <col min="4" max="4" width="15.5546875" customWidth="1"/>
    <col min="7" max="7" width="12.5546875" customWidth="1"/>
    <col min="8" max="8" width="11.5546875" customWidth="1"/>
  </cols>
  <sheetData>
    <row r="1" spans="1:9" x14ac:dyDescent="0.3">
      <c r="A1" s="32" t="s">
        <v>34</v>
      </c>
      <c r="B1" s="32" t="s">
        <v>35</v>
      </c>
      <c r="C1" s="32" t="s">
        <v>36</v>
      </c>
      <c r="D1" s="32" t="s">
        <v>44</v>
      </c>
      <c r="F1" s="32" t="s">
        <v>37</v>
      </c>
      <c r="G1" s="32" t="s">
        <v>38</v>
      </c>
      <c r="H1" s="32" t="s">
        <v>36</v>
      </c>
      <c r="I1" s="32" t="s">
        <v>39</v>
      </c>
    </row>
    <row r="2" spans="1:9" x14ac:dyDescent="0.3">
      <c r="A2" t="str">
        <f>"דוגמא " &amp; (ROW()-1)</f>
        <v>דוגמא 1</v>
      </c>
      <c r="B2" t="s">
        <v>40</v>
      </c>
      <c r="C2" t="s">
        <v>40</v>
      </c>
      <c r="D2"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3" spans="1:9" x14ac:dyDescent="0.3">
      <c r="A3" t="str">
        <f t="shared" ref="A3:A30" si="0">"דוגמא " &amp; (ROW()-1)</f>
        <v>דוגמא 2</v>
      </c>
      <c r="B3" t="s">
        <v>40</v>
      </c>
      <c r="C3" t="s">
        <v>45</v>
      </c>
      <c r="D3"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4" spans="1:9" x14ac:dyDescent="0.3">
      <c r="A4" t="str">
        <f t="shared" si="0"/>
        <v>דוגמא 3</v>
      </c>
      <c r="B4" t="s">
        <v>40</v>
      </c>
      <c r="C4" t="s">
        <v>2</v>
      </c>
      <c r="D4"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5" spans="1:9" x14ac:dyDescent="0.3">
      <c r="A5" t="str">
        <f t="shared" si="0"/>
        <v>דוגמא 4</v>
      </c>
      <c r="B5" t="s">
        <v>2</v>
      </c>
      <c r="C5" t="s">
        <v>43</v>
      </c>
      <c r="D5"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6" spans="1:9" x14ac:dyDescent="0.3">
      <c r="A6" t="str">
        <f t="shared" si="0"/>
        <v>דוגמא 5</v>
      </c>
      <c r="B6" t="s">
        <v>2</v>
      </c>
      <c r="C6" t="s">
        <v>43</v>
      </c>
      <c r="D6"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7" spans="1:9" x14ac:dyDescent="0.3">
      <c r="A7" t="str">
        <f t="shared" si="0"/>
        <v>דוגמא 6</v>
      </c>
      <c r="B7" t="s">
        <v>2</v>
      </c>
      <c r="C7" t="s">
        <v>43</v>
      </c>
      <c r="D7"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8" spans="1:9" x14ac:dyDescent="0.3">
      <c r="A8" t="str">
        <f t="shared" si="0"/>
        <v>דוגמא 7</v>
      </c>
      <c r="B8" t="s">
        <v>43</v>
      </c>
      <c r="C8" t="s">
        <v>45</v>
      </c>
      <c r="D8"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מקדים</v>
      </c>
    </row>
    <row r="9" spans="1:9" x14ac:dyDescent="0.3">
      <c r="A9" t="str">
        <f t="shared" si="0"/>
        <v>דוגמא 8</v>
      </c>
      <c r="B9" t="s">
        <v>43</v>
      </c>
      <c r="C9" t="s">
        <v>40</v>
      </c>
      <c r="D9"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מקדים</v>
      </c>
    </row>
    <row r="10" spans="1:9" x14ac:dyDescent="0.3">
      <c r="A10" t="str">
        <f t="shared" si="0"/>
        <v>דוגמא 9</v>
      </c>
      <c r="B10" t="s">
        <v>43</v>
      </c>
      <c r="C10" t="s">
        <v>40</v>
      </c>
      <c r="D10"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מקדים</v>
      </c>
    </row>
    <row r="11" spans="1:9" x14ac:dyDescent="0.3">
      <c r="A11" t="str">
        <f t="shared" si="0"/>
        <v>דוגמא 10</v>
      </c>
      <c r="B11" t="s">
        <v>40</v>
      </c>
      <c r="C11" t="s">
        <v>40</v>
      </c>
      <c r="D11"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12" spans="1:9" x14ac:dyDescent="0.3">
      <c r="A12" t="str">
        <f t="shared" si="0"/>
        <v>דוגמא 11</v>
      </c>
      <c r="B12" t="s">
        <v>40</v>
      </c>
      <c r="C12" t="s">
        <v>2</v>
      </c>
      <c r="D12"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13" spans="1:9" x14ac:dyDescent="0.3">
      <c r="A13" t="str">
        <f t="shared" si="0"/>
        <v>דוגמא 12</v>
      </c>
      <c r="B13" t="s">
        <v>40</v>
      </c>
      <c r="C13" t="s">
        <v>45</v>
      </c>
      <c r="D13"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14" spans="1:9" x14ac:dyDescent="0.3">
      <c r="A14" t="str">
        <f t="shared" si="0"/>
        <v>דוגמא 13</v>
      </c>
      <c r="B14" t="s">
        <v>2</v>
      </c>
      <c r="C14" t="s">
        <v>2</v>
      </c>
      <c r="D14"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15" spans="1:9" x14ac:dyDescent="0.3">
      <c r="A15" t="str">
        <f t="shared" si="0"/>
        <v>דוגמא 14</v>
      </c>
      <c r="B15" t="s">
        <v>2</v>
      </c>
      <c r="C15" t="s">
        <v>2</v>
      </c>
      <c r="D15"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16" spans="1:9" x14ac:dyDescent="0.3">
      <c r="A16" t="str">
        <f t="shared" si="0"/>
        <v>דוגמא 15</v>
      </c>
      <c r="B16" t="s">
        <v>2</v>
      </c>
      <c r="C16" t="s">
        <v>43</v>
      </c>
      <c r="D16"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17" spans="1:4" x14ac:dyDescent="0.3">
      <c r="A17" t="str">
        <f t="shared" si="0"/>
        <v>דוגמא 16</v>
      </c>
      <c r="B17" t="s">
        <v>42</v>
      </c>
      <c r="C17" t="s">
        <v>40</v>
      </c>
      <c r="D17"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18" spans="1:4" x14ac:dyDescent="0.3">
      <c r="A18" t="str">
        <f t="shared" si="0"/>
        <v>דוגמא 17</v>
      </c>
      <c r="B18" t="s">
        <v>42</v>
      </c>
      <c r="C18" t="s">
        <v>2</v>
      </c>
      <c r="D18"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19" spans="1:4" x14ac:dyDescent="0.3">
      <c r="A19" t="str">
        <f t="shared" si="0"/>
        <v>דוגמא 18</v>
      </c>
      <c r="B19" t="s">
        <v>42</v>
      </c>
      <c r="C19" t="s">
        <v>40</v>
      </c>
      <c r="D19"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0" spans="1:4" x14ac:dyDescent="0.3">
      <c r="A20" t="str">
        <f t="shared" si="0"/>
        <v>דוגמא 19</v>
      </c>
      <c r="B20" t="s">
        <v>40</v>
      </c>
      <c r="C20" t="s">
        <v>43</v>
      </c>
      <c r="D20"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21" spans="1:4" x14ac:dyDescent="0.3">
      <c r="A21" t="str">
        <f t="shared" si="0"/>
        <v>דוגמא 20</v>
      </c>
      <c r="B21" t="s">
        <v>40</v>
      </c>
      <c r="C21" t="s">
        <v>43</v>
      </c>
      <c r="D21"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row r="22" spans="1:4" x14ac:dyDescent="0.3">
      <c r="A22" t="str">
        <f t="shared" si="0"/>
        <v>דוגמא 21</v>
      </c>
      <c r="B22" t="s">
        <v>41</v>
      </c>
      <c r="C22" t="s">
        <v>43</v>
      </c>
      <c r="D22"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3" spans="1:4" x14ac:dyDescent="0.3">
      <c r="A23" t="str">
        <f t="shared" si="0"/>
        <v>דוגמא 22</v>
      </c>
      <c r="B23" t="s">
        <v>2</v>
      </c>
      <c r="C23" t="s">
        <v>45</v>
      </c>
      <c r="D23"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4" spans="1:4" x14ac:dyDescent="0.3">
      <c r="A24" t="str">
        <f t="shared" si="0"/>
        <v>דוגמא 23</v>
      </c>
      <c r="B24" t="s">
        <v>2</v>
      </c>
      <c r="C24" t="s">
        <v>40</v>
      </c>
      <c r="D24"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מקדים</v>
      </c>
    </row>
    <row r="25" spans="1:4" x14ac:dyDescent="0.3">
      <c r="A25" t="str">
        <f t="shared" si="0"/>
        <v>דוגמא 24</v>
      </c>
      <c r="B25" t="s">
        <v>2</v>
      </c>
      <c r="C25" t="s">
        <v>40</v>
      </c>
      <c r="D25"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מקדים</v>
      </c>
    </row>
    <row r="26" spans="1:4" x14ac:dyDescent="0.3">
      <c r="A26" t="str">
        <f t="shared" si="0"/>
        <v>דוגמא 25</v>
      </c>
      <c r="B26" t="s">
        <v>42</v>
      </c>
      <c r="C26" t="s">
        <v>40</v>
      </c>
      <c r="D26"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7" spans="1:4" x14ac:dyDescent="0.3">
      <c r="A27" t="str">
        <f t="shared" si="0"/>
        <v>דוגמא 26</v>
      </c>
      <c r="B27" t="s">
        <v>42</v>
      </c>
      <c r="C27" t="s">
        <v>2</v>
      </c>
      <c r="D27"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8" spans="1:4" x14ac:dyDescent="0.3">
      <c r="A28" t="str">
        <f t="shared" si="0"/>
        <v>דוגמא 27</v>
      </c>
      <c r="B28" t="s">
        <v>42</v>
      </c>
      <c r="C28" t="s">
        <v>45</v>
      </c>
      <c r="D28"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ERROR IN CALCULATION</v>
      </c>
    </row>
    <row r="29" spans="1:4" x14ac:dyDescent="0.3">
      <c r="A29" t="str">
        <f t="shared" si="0"/>
        <v>דוגמא 28</v>
      </c>
      <c r="B29" t="s">
        <v>2</v>
      </c>
      <c r="C29" t="s">
        <v>2</v>
      </c>
      <c r="D29"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30" spans="1:4" x14ac:dyDescent="0.3">
      <c r="A30" t="str">
        <f t="shared" si="0"/>
        <v>דוגמא 29</v>
      </c>
      <c r="B30" t="s">
        <v>2</v>
      </c>
      <c r="C30" t="s">
        <v>2</v>
      </c>
      <c r="D30"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עומד בקצב</v>
      </c>
    </row>
    <row r="31" spans="1:4" x14ac:dyDescent="0.3">
      <c r="A31" t="str">
        <f>"דוגמא " &amp; (ROW()-1)</f>
        <v>דוגמא 30</v>
      </c>
      <c r="B31" t="s">
        <v>2</v>
      </c>
      <c r="C31" t="s">
        <v>43</v>
      </c>
      <c r="D31" t="str">
        <f>IF(טבלה2[[#This Row],[סטטות מתוכנן]]=טבלה2[[#This Row],[סטטוס בפועל]], "עומד בקצב", IF(OR(AND(טבלה2[[#This Row],[סטטות מתוכנן]]="הסתיים",טבלה2[[#This Row],[סטטוס בפועל]]&lt;&gt; "הסתיים"),AND(טבלה2[[#This Row],[סטטות מתוכנן]]="בפועל",טבלה2[[#This Row],[סטטוס בפועל]]="לא התחיל")), "מאחרים", IF(OR(AND(טבלה2[[#This Row],[סטטות מתוכנן]]="בפועל",טבלה2[[#This Row],[סטטוס בפועל]]="הסתיים"),AND(טבלה2[[#This Row],[סטטות מתוכנן]]="לא התחיל",טבלה2[[#This Row],[סטטוס בפועל]]&lt;&gt;טבלה2[[#This Row],[סטטות מתוכנן]])), "מקדים", "ERROR IN CALCULATION")))</f>
        <v>מאחרים</v>
      </c>
    </row>
  </sheetData>
  <dataValidations count="2">
    <dataValidation type="list" allowBlank="1" showInputMessage="1" showErrorMessage="1" sqref="B2:B31" xr:uid="{7774F82A-F59F-4955-A7DF-B89F2320B058}">
      <formula1>"הסתיים, בפועל, לא התחיל"</formula1>
    </dataValidation>
    <dataValidation type="list" allowBlank="1" showInputMessage="1" showErrorMessage="1" sqref="C2:C31" xr:uid="{B4A99667-A952-42CC-A4EF-7EF9EDBFF86F}">
      <formula1>"לא התחיל, בפועל, הסתיים"</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A3C53-C12D-4576-993F-28D9FF40AD5B}">
  <sheetPr codeName="Worksheet______21"/>
  <dimension ref="A1"/>
  <sheetViews>
    <sheetView rightToLeft="1" workbookViewId="0">
      <selection activeCell="S11" sqref="S11"/>
    </sheetView>
  </sheetViews>
  <sheetFormatPr defaultRowHeight="14.4"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BE5496-5D59-4FD6-81EC-263DA392C21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5</vt:i4>
      </vt:variant>
    </vt:vector>
  </HeadingPairs>
  <TitlesOfParts>
    <vt:vector size="5" baseType="lpstr">
      <vt:lpstr>טבלאות סיכום </vt:lpstr>
      <vt:lpstr>תכנון מול ביצוע נתונים </vt:lpstr>
      <vt:lpstr>ציון איכות התכנון</vt:lpstr>
      <vt:lpstr>גיליון גולמי </vt:lpstr>
      <vt:lpstr>לוח בקרה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Leah Cassouto</dc:creator>
  <cp:lastModifiedBy>Leah Lieberman</cp:lastModifiedBy>
  <dcterms:created xsi:type="dcterms:W3CDTF">2023-05-02T06:51:54Z</dcterms:created>
  <dcterms:modified xsi:type="dcterms:W3CDTF">2023-05-28T12:20:22Z</dcterms:modified>
</cp:coreProperties>
</file>